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使用说明" sheetId="1" state="visible" r:id="rId1"/>
    <sheet xmlns:r="http://schemas.openxmlformats.org/officeDocument/2006/relationships" name="02_报表基础信息" sheetId="2" state="visible" r:id="rId2"/>
    <sheet xmlns:r="http://schemas.openxmlformats.org/officeDocument/2006/relationships" name="03_分析维度" sheetId="3" state="visible" r:id="rId3"/>
    <sheet xmlns:r="http://schemas.openxmlformats.org/officeDocument/2006/relationships" name="04_高层总览KPI" sheetId="4" state="visible" r:id="rId4"/>
    <sheet xmlns:r="http://schemas.openxmlformats.org/officeDocument/2006/relationships" name="05_管理利润表" sheetId="5" state="visible" r:id="rId5"/>
    <sheet xmlns:r="http://schemas.openxmlformats.org/officeDocument/2006/relationships" name="06_业务驱动指标" sheetId="6" state="visible" r:id="rId6"/>
    <sheet xmlns:r="http://schemas.openxmlformats.org/officeDocument/2006/relationships" name="07_预算预测差异" sheetId="7" state="visible" r:id="rId7"/>
    <sheet xmlns:r="http://schemas.openxmlformats.org/officeDocument/2006/relationships" name="08_口径调节桥" sheetId="8" state="visible" r:id="rId8"/>
    <sheet xmlns:r="http://schemas.openxmlformats.org/officeDocument/2006/relationships" name="09_Sheet模块清单" sheetId="9" state="visible" r:id="rId9"/>
    <sheet xmlns:r="http://schemas.openxmlformats.org/officeDocument/2006/relationships" name="10_数据字典模板" sheetId="10" state="visible" r:id="rId10"/>
    <sheet xmlns:r="http://schemas.openxmlformats.org/officeDocument/2006/relationships" name="11_最小可用报表模板" sheetId="11" state="visible" r:id="rId11"/>
  </sheets>
  <definedNames>
    <definedName name="_xlnm._FilterDatabase" localSheetId="0" hidden="1">'01_使用说明'!$A$1:$B$6</definedName>
    <definedName name="_xlnm._FilterDatabase" localSheetId="1" hidden="1">'02_报表基础信息'!$A$1:$I$9</definedName>
    <definedName name="_xlnm._FilterDatabase" localSheetId="2" hidden="1">'03_分析维度'!$A$1:$I$15</definedName>
    <definedName name="_xlnm._FilterDatabase" localSheetId="3" hidden="1">'04_高层总览KPI'!$A$1:$I$14</definedName>
    <definedName name="_xlnm._FilterDatabase" localSheetId="4" hidden="1">'05_管理利润表'!$A$1:$I$26</definedName>
    <definedName name="_xlnm._FilterDatabase" localSheetId="5" hidden="1">'06_业务驱动指标'!$A$1:$I$22</definedName>
    <definedName name="_xlnm._FilterDatabase" localSheetId="6" hidden="1">'07_预算预测差异'!$A$1:$I$21</definedName>
    <definedName name="_xlnm._FilterDatabase" localSheetId="7" hidden="1">'08_口径调节桥'!$A$1:$I$16</definedName>
    <definedName name="_xlnm._FilterDatabase" localSheetId="8" hidden="1">'09_Sheet模块清单'!$A$1:$I$12</definedName>
    <definedName name="_xlnm._FilterDatabase" localSheetId="9" hidden="1">'10_数据字典模板'!$A$1:$I$15</definedName>
    <definedName name="_xlnm._FilterDatabase" localSheetId="10" hidden="1">'11_最小可用报表模板'!$A$1:$X$2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37415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FAF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模板定位</t>
        </is>
      </c>
      <c r="B2" s="2" t="inlineStr">
        <is>
          <t>用于FP&amp;A管理报表、管理利润表、口径调节、预算差异分析的数据字段模板。</t>
        </is>
      </c>
    </row>
    <row r="3">
      <c r="A3" s="2" t="inlineStr">
        <is>
          <t>使用建议</t>
        </is>
      </c>
      <c r="B3" s="2" t="inlineStr">
        <is>
          <t>先落地最小可用版本：Executive Dashboard、Management P&amp;L、Budget vs Actual、Reconciliation Bridge。</t>
        </is>
      </c>
    </row>
    <row r="4">
      <c r="A4" s="2" t="inlineStr">
        <is>
          <t>口径原则</t>
        </is>
      </c>
      <c r="B4" s="2" t="inlineStr">
        <is>
          <t>管理口径以经营决策为目标，允许先独立建立，再通过调节桥解释与财务口径、渠道口径的差异。</t>
        </is>
      </c>
    </row>
    <row r="5">
      <c r="A5" s="2" t="inlineStr">
        <is>
          <t>字段治理</t>
        </is>
      </c>
      <c r="B5" s="2" t="inlineStr">
        <is>
          <t>每个关键字段必须明确公式、数据源、更新频率、责任方和是否用于考核。</t>
        </is>
      </c>
    </row>
    <row r="6">
      <c r="A6" s="2" t="inlineStr">
        <is>
          <t>作者</t>
        </is>
      </c>
      <c r="B6" s="2" t="inlineStr">
        <is>
          <t>@beynawoo-code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44" customWidth="1" min="4" max="4"/>
    <col width="24" customWidth="1" min="5" max="5"/>
    <col width="14" customWidth="1" min="6" max="6"/>
    <col width="18" customWidth="1" min="7" max="7"/>
    <col width="12" customWidth="1" min="8" max="8"/>
    <col width="32" customWidth="1" min="9" max="9"/>
  </cols>
  <sheetData>
    <row r="1">
      <c r="A1" s="1" t="inlineStr">
        <is>
          <t>字段名称</t>
        </is>
      </c>
      <c r="B1" s="1" t="inlineStr">
        <is>
          <t>English Field</t>
        </is>
      </c>
      <c r="C1" s="1" t="inlineStr">
        <is>
          <t>字段类型/公式</t>
        </is>
      </c>
      <c r="D1" s="1" t="inlineStr">
        <is>
          <t>业务含义</t>
        </is>
      </c>
      <c r="E1" s="1" t="inlineStr">
        <is>
          <t>建议数据源</t>
        </is>
      </c>
      <c r="F1" s="1" t="inlineStr">
        <is>
          <t>更新频率</t>
        </is>
      </c>
      <c r="G1" s="1" t="inlineStr">
        <is>
          <t>责任方</t>
        </is>
      </c>
      <c r="H1" s="1" t="inlineStr">
        <is>
          <t>是否必填</t>
        </is>
      </c>
      <c r="I1" s="1" t="inlineStr">
        <is>
          <t>示例/备注</t>
        </is>
      </c>
    </row>
    <row r="2">
      <c r="A2" s="3" t="inlineStr">
        <is>
          <t>报表期间</t>
        </is>
      </c>
      <c r="B2" s="3" t="inlineStr">
        <is>
          <t>Report Period</t>
        </is>
      </c>
      <c r="C2" s="3" t="inlineStr">
        <is>
          <t>维度</t>
        </is>
      </c>
      <c r="D2" s="3" t="inlineStr">
        <is>
          <t>报表覆盖的年月周日范围</t>
        </is>
      </c>
      <c r="E2" s="3" t="inlineStr">
        <is>
          <t>报表参数/日历表</t>
        </is>
      </c>
      <c r="F2" s="3" t="inlineStr">
        <is>
          <t>每次出具</t>
        </is>
      </c>
      <c r="G2" s="3" t="inlineStr">
        <is>
          <t>FP&amp;A</t>
        </is>
      </c>
      <c r="H2" s="4" t="inlineStr">
        <is>
          <t>是</t>
        </is>
      </c>
      <c r="I2" s="3" t="inlineStr">
        <is>
          <t>2026-05 / 2026-W21</t>
        </is>
      </c>
    </row>
    <row r="3">
      <c r="A3" s="2" t="inlineStr">
        <is>
          <t>报表版本</t>
        </is>
      </c>
      <c r="B3" s="2" t="inlineStr">
        <is>
          <t>Report Version</t>
        </is>
      </c>
      <c r="C3" s="2" t="inlineStr">
        <is>
          <t>枚举</t>
        </is>
      </c>
      <c r="D3" s="2" t="inlineStr">
        <is>
          <t>Actual、Budget、Forecast、Rolling Forecast</t>
        </is>
      </c>
      <c r="E3" s="2" t="inlineStr">
        <is>
          <t>报表参数</t>
        </is>
      </c>
      <c r="F3" s="2" t="inlineStr">
        <is>
          <t>每次出具</t>
        </is>
      </c>
      <c r="G3" s="2" t="inlineStr">
        <is>
          <t>FP&amp;A</t>
        </is>
      </c>
      <c r="H3" s="4" t="inlineStr">
        <is>
          <t>是</t>
        </is>
      </c>
      <c r="I3" s="2" t="inlineStr">
        <is>
          <t>Actual</t>
        </is>
      </c>
    </row>
    <row r="4">
      <c r="A4" s="3" t="inlineStr">
        <is>
          <t>统计口径</t>
        </is>
      </c>
      <c r="B4" s="3" t="inlineStr">
        <is>
          <t>Reporting Basis</t>
        </is>
      </c>
      <c r="C4" s="3" t="inlineStr">
        <is>
          <t>枚举</t>
        </is>
      </c>
      <c r="D4" s="3" t="inlineStr">
        <is>
          <t>管理口径、财务口径、渠道口径</t>
        </is>
      </c>
      <c r="E4" s="3" t="inlineStr">
        <is>
          <t>数据字典</t>
        </is>
      </c>
      <c r="F4" s="3" t="inlineStr">
        <is>
          <t>每次出具</t>
        </is>
      </c>
      <c r="G4" s="3" t="inlineStr">
        <is>
          <t>FP&amp;A/财务</t>
        </is>
      </c>
      <c r="H4" s="4" t="inlineStr">
        <is>
          <t>是</t>
        </is>
      </c>
      <c r="I4" s="3" t="inlineStr">
        <is>
          <t>管理口径</t>
        </is>
      </c>
    </row>
    <row r="5">
      <c r="A5" s="2" t="inlineStr">
        <is>
          <t>币种</t>
        </is>
      </c>
      <c r="B5" s="2" t="inlineStr">
        <is>
          <t>Currency</t>
        </is>
      </c>
      <c r="C5" s="2" t="inlineStr">
        <is>
          <t>枚举</t>
        </is>
      </c>
      <c r="D5" s="2" t="inlineStr">
        <is>
          <t>报表展示币种</t>
        </is>
      </c>
      <c r="E5" s="2" t="inlineStr">
        <is>
          <t>财务系统/汇率表</t>
        </is>
      </c>
      <c r="F5" s="2" t="inlineStr">
        <is>
          <t>每次出具</t>
        </is>
      </c>
      <c r="G5" s="2" t="inlineStr">
        <is>
          <t>财务</t>
        </is>
      </c>
      <c r="H5" s="4" t="inlineStr">
        <is>
          <t>是</t>
        </is>
      </c>
      <c r="I5" s="2" t="inlineStr">
        <is>
          <t>USD / RMB / EUR</t>
        </is>
      </c>
    </row>
    <row r="6">
      <c r="A6" s="3" t="inlineStr">
        <is>
          <t>汇率口径</t>
        </is>
      </c>
      <c r="B6" s="3" t="inlineStr">
        <is>
          <t>FX Basis</t>
        </is>
      </c>
      <c r="C6" s="3" t="inlineStr">
        <is>
          <t>枚举</t>
        </is>
      </c>
      <c r="D6" s="3" t="inlineStr">
        <is>
          <t>实际汇率、预算汇率、月均汇率</t>
        </is>
      </c>
      <c r="E6" s="3" t="inlineStr">
        <is>
          <t>汇率表</t>
        </is>
      </c>
      <c r="F6" s="3" t="inlineStr">
        <is>
          <t>每月</t>
        </is>
      </c>
      <c r="G6" s="3" t="inlineStr">
        <is>
          <t>财务</t>
        </is>
      </c>
      <c r="H6" s="4" t="inlineStr">
        <is>
          <t>是</t>
        </is>
      </c>
      <c r="I6" s="3" t="inlineStr">
        <is>
          <t>预算汇率</t>
        </is>
      </c>
    </row>
    <row r="7">
      <c r="A7" s="2" t="inlineStr">
        <is>
          <t>数据更新时间</t>
        </is>
      </c>
      <c r="B7" s="2" t="inlineStr">
        <is>
          <t>Data Refresh Time</t>
        </is>
      </c>
      <c r="C7" s="2" t="inlineStr">
        <is>
          <t>时间戳</t>
        </is>
      </c>
      <c r="D7" s="2" t="inlineStr">
        <is>
          <t>报表数据最后刷新时间</t>
        </is>
      </c>
      <c r="E7" s="2" t="inlineStr">
        <is>
          <t>BI/ETL</t>
        </is>
      </c>
      <c r="F7" s="2" t="inlineStr">
        <is>
          <t>每次刷新</t>
        </is>
      </c>
      <c r="G7" s="2" t="inlineStr">
        <is>
          <t>BI</t>
        </is>
      </c>
      <c r="H7" s="4" t="inlineStr">
        <is>
          <t>是</t>
        </is>
      </c>
      <c r="I7" s="2" t="inlineStr">
        <is>
          <t>2026-05-21 12:00</t>
        </is>
      </c>
    </row>
    <row r="8">
      <c r="A8" s="3" t="inlineStr">
        <is>
          <t>数据负责人</t>
        </is>
      </c>
      <c r="B8" s="3" t="inlineStr">
        <is>
          <t>Data Owner</t>
        </is>
      </c>
      <c r="C8" s="3" t="inlineStr">
        <is>
          <t>文本</t>
        </is>
      </c>
      <c r="D8" s="3" t="inlineStr">
        <is>
          <t>字段或报表责任人</t>
        </is>
      </c>
      <c r="E8" s="3" t="inlineStr">
        <is>
          <t>组织架构</t>
        </is>
      </c>
      <c r="F8" s="3" t="inlineStr">
        <is>
          <t>每次出具</t>
        </is>
      </c>
      <c r="G8" s="3" t="inlineStr">
        <is>
          <t>FP&amp;A</t>
        </is>
      </c>
      <c r="H8" s="4" t="inlineStr">
        <is>
          <t>是</t>
        </is>
      </c>
      <c r="I8" s="3" t="inlineStr">
        <is>
          <t>FP&amp;A Owner</t>
        </is>
      </c>
    </row>
    <row r="9">
      <c r="A9" s="2" t="inlineStr">
        <is>
          <t>备注</t>
        </is>
      </c>
      <c r="B9" s="2" t="inlineStr">
        <is>
          <t>Notes</t>
        </is>
      </c>
      <c r="C9" s="2" t="inlineStr">
        <is>
          <t>文本</t>
        </is>
      </c>
      <c r="D9" s="2" t="inlineStr">
        <is>
          <t>异常说明、口径说明、版本说明</t>
        </is>
      </c>
      <c r="E9" s="2" t="inlineStr">
        <is>
          <t>手工录入</t>
        </is>
      </c>
      <c r="F9" s="2" t="inlineStr">
        <is>
          <t>按需</t>
        </is>
      </c>
      <c r="G9" s="2" t="inlineStr">
        <is>
          <t>FP&amp;A</t>
        </is>
      </c>
      <c r="H9" s="2" t="inlineStr">
        <is>
          <t>否</t>
        </is>
      </c>
      <c r="I9" s="2" t="inlineStr">
        <is>
          <t>本月促销活动口径调整</t>
        </is>
      </c>
    </row>
  </sheetData>
  <autoFilter ref="A1:I9"/>
  <dataValidations count="1">
    <dataValidation sqref="H2:H9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891B2"/>
    <outlinePr summaryBelow="1" summaryRight="1"/>
    <pageSetUpPr/>
  </sheetPr>
  <dimension ref="A1:I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44" customWidth="1" min="4" max="4"/>
    <col width="24" customWidth="1" min="5" max="5"/>
    <col width="14" customWidth="1" min="6" max="6"/>
    <col width="18" customWidth="1" min="7" max="7"/>
    <col width="12" customWidth="1" min="8" max="8"/>
    <col width="32" customWidth="1" min="9" max="9"/>
  </cols>
  <sheetData>
    <row r="1">
      <c r="A1" s="1" t="inlineStr">
        <is>
          <t>字段名称</t>
        </is>
      </c>
      <c r="B1" s="1" t="inlineStr">
        <is>
          <t>English Field</t>
        </is>
      </c>
      <c r="C1" s="1" t="inlineStr">
        <is>
          <t>字段类型/公式</t>
        </is>
      </c>
      <c r="D1" s="1" t="inlineStr">
        <is>
          <t>业务含义</t>
        </is>
      </c>
      <c r="E1" s="1" t="inlineStr">
        <is>
          <t>建议数据源</t>
        </is>
      </c>
      <c r="F1" s="1" t="inlineStr">
        <is>
          <t>更新频率</t>
        </is>
      </c>
      <c r="G1" s="1" t="inlineStr">
        <is>
          <t>责任方</t>
        </is>
      </c>
      <c r="H1" s="1" t="inlineStr">
        <is>
          <t>是否必填</t>
        </is>
      </c>
      <c r="I1" s="1" t="inlineStr">
        <is>
          <t>示例/备注</t>
        </is>
      </c>
    </row>
    <row r="2">
      <c r="A2" s="3" t="inlineStr">
        <is>
          <t>事业部/BU</t>
        </is>
      </c>
      <c r="B2" s="3" t="inlineStr">
        <is>
          <t>Business Unit</t>
        </is>
      </c>
      <c r="C2" s="3" t="inlineStr">
        <is>
          <t>维度</t>
        </is>
      </c>
      <c r="D2" s="3" t="inlineStr">
        <is>
          <t>业务单元</t>
        </is>
      </c>
      <c r="E2" s="3" t="inlineStr">
        <is>
          <t>ERP/组织架构</t>
        </is>
      </c>
      <c r="F2" s="3" t="inlineStr">
        <is>
          <t>每月</t>
        </is>
      </c>
      <c r="G2" s="3" t="inlineStr">
        <is>
          <t>业务/财务</t>
        </is>
      </c>
      <c r="H2" s="4" t="inlineStr">
        <is>
          <t>是</t>
        </is>
      </c>
      <c r="I2" s="3" t="inlineStr">
        <is>
          <t>Lighting / Home Appliance</t>
        </is>
      </c>
    </row>
    <row r="3">
      <c r="A3" s="2" t="inlineStr">
        <is>
          <t>品牌</t>
        </is>
      </c>
      <c r="B3" s="2" t="inlineStr">
        <is>
          <t>Brand</t>
        </is>
      </c>
      <c r="C3" s="2" t="inlineStr">
        <is>
          <t>维度</t>
        </is>
      </c>
      <c r="D3" s="2" t="inlineStr">
        <is>
          <t>品牌或子品牌</t>
        </is>
      </c>
      <c r="E3" s="2" t="inlineStr">
        <is>
          <t>主数据</t>
        </is>
      </c>
      <c r="F3" s="2" t="inlineStr">
        <is>
          <t>每月</t>
        </is>
      </c>
      <c r="G3" s="2" t="inlineStr">
        <is>
          <t>品牌团队</t>
        </is>
      </c>
      <c r="H3" s="2" t="inlineStr">
        <is>
          <t>否</t>
        </is>
      </c>
      <c r="I3" s="2" t="inlineStr">
        <is>
          <t>Govee</t>
        </is>
      </c>
    </row>
    <row r="4">
      <c r="A4" s="3" t="inlineStr">
        <is>
          <t>平台/渠道</t>
        </is>
      </c>
      <c r="B4" s="3" t="inlineStr">
        <is>
          <t>Platform/Channel</t>
        </is>
      </c>
      <c r="C4" s="3" t="inlineStr">
        <is>
          <t>维度</t>
        </is>
      </c>
      <c r="D4" s="3" t="inlineStr">
        <is>
          <t>销售平台或渠道</t>
        </is>
      </c>
      <c r="E4" s="3" t="inlineStr">
        <is>
          <t>渠道后台/ERP</t>
        </is>
      </c>
      <c r="F4" s="3" t="inlineStr">
        <is>
          <t>每日</t>
        </is>
      </c>
      <c r="G4" s="3" t="inlineStr">
        <is>
          <t>渠道运营</t>
        </is>
      </c>
      <c r="H4" s="4" t="inlineStr">
        <is>
          <t>是</t>
        </is>
      </c>
      <c r="I4" s="3" t="inlineStr">
        <is>
          <t>Amazon / Shopify / Walmart</t>
        </is>
      </c>
    </row>
    <row r="5">
      <c r="A5" s="2" t="inlineStr">
        <is>
          <t>店铺/账号</t>
        </is>
      </c>
      <c r="B5" s="2" t="inlineStr">
        <is>
          <t>Store/Account</t>
        </is>
      </c>
      <c r="C5" s="2" t="inlineStr">
        <is>
          <t>维度</t>
        </is>
      </c>
      <c r="D5" s="2" t="inlineStr">
        <is>
          <t>平台店铺或账号</t>
        </is>
      </c>
      <c r="E5" s="2" t="inlineStr">
        <is>
          <t>渠道后台</t>
        </is>
      </c>
      <c r="F5" s="2" t="inlineStr">
        <is>
          <t>每日</t>
        </is>
      </c>
      <c r="G5" s="2" t="inlineStr">
        <is>
          <t>渠道运营</t>
        </is>
      </c>
      <c r="H5" s="4" t="inlineStr">
        <is>
          <t>是</t>
        </is>
      </c>
      <c r="I5" s="2" t="inlineStr">
        <is>
          <t>Amazon US Store</t>
        </is>
      </c>
    </row>
    <row r="6">
      <c r="A6" s="3" t="inlineStr">
        <is>
          <t>国家/站点</t>
        </is>
      </c>
      <c r="B6" s="3" t="inlineStr">
        <is>
          <t>Country/Site</t>
        </is>
      </c>
      <c r="C6" s="3" t="inlineStr">
        <is>
          <t>维度</t>
        </is>
      </c>
      <c r="D6" s="3" t="inlineStr">
        <is>
          <t>销售国家或站点</t>
        </is>
      </c>
      <c r="E6" s="3" t="inlineStr">
        <is>
          <t>渠道后台/订单系统</t>
        </is>
      </c>
      <c r="F6" s="3" t="inlineStr">
        <is>
          <t>每日</t>
        </is>
      </c>
      <c r="G6" s="3" t="inlineStr">
        <is>
          <t>渠道运营</t>
        </is>
      </c>
      <c r="H6" s="4" t="inlineStr">
        <is>
          <t>是</t>
        </is>
      </c>
      <c r="I6" s="3" t="inlineStr">
        <is>
          <t>US / DE / UK</t>
        </is>
      </c>
    </row>
    <row r="7">
      <c r="A7" s="2" t="inlineStr">
        <is>
          <t>区域</t>
        </is>
      </c>
      <c r="B7" s="2" t="inlineStr">
        <is>
          <t>Region</t>
        </is>
      </c>
      <c r="C7" s="2" t="inlineStr">
        <is>
          <t>维度</t>
        </is>
      </c>
      <c r="D7" s="2" t="inlineStr">
        <is>
          <t>管理区域</t>
        </is>
      </c>
      <c r="E7" s="2" t="inlineStr">
        <is>
          <t>区域映射表</t>
        </is>
      </c>
      <c r="F7" s="2" t="inlineStr">
        <is>
          <t>每月</t>
        </is>
      </c>
      <c r="G7" s="2" t="inlineStr">
        <is>
          <t>FP&amp;A</t>
        </is>
      </c>
      <c r="H7" s="4" t="inlineStr">
        <is>
          <t>是</t>
        </is>
      </c>
      <c r="I7" s="2" t="inlineStr">
        <is>
          <t>北美 / 欧洲</t>
        </is>
      </c>
    </row>
    <row r="8">
      <c r="A8" s="3" t="inlineStr">
        <is>
          <t>产品线</t>
        </is>
      </c>
      <c r="B8" s="3" t="inlineStr">
        <is>
          <t>Product Line</t>
        </is>
      </c>
      <c r="C8" s="3" t="inlineStr">
        <is>
          <t>维度</t>
        </is>
      </c>
      <c r="D8" s="3" t="inlineStr">
        <is>
          <t>产品经营分类</t>
        </is>
      </c>
      <c r="E8" s="3" t="inlineStr">
        <is>
          <t>商品主数据</t>
        </is>
      </c>
      <c r="F8" s="3" t="inlineStr">
        <is>
          <t>每日</t>
        </is>
      </c>
      <c r="G8" s="3" t="inlineStr">
        <is>
          <t>产品/运营</t>
        </is>
      </c>
      <c r="H8" s="4" t="inlineStr">
        <is>
          <t>是</t>
        </is>
      </c>
      <c r="I8" s="3" t="inlineStr">
        <is>
          <t>TV Backlight</t>
        </is>
      </c>
    </row>
    <row r="9">
      <c r="A9" s="2" t="inlineStr">
        <is>
          <t>SKU/ASIN</t>
        </is>
      </c>
      <c r="B9" s="2" t="inlineStr">
        <is>
          <t>SKU/ASIN</t>
        </is>
      </c>
      <c r="C9" s="2" t="inlineStr">
        <is>
          <t>维度</t>
        </is>
      </c>
      <c r="D9" s="2" t="inlineStr">
        <is>
          <t>最小商品颗粒度</t>
        </is>
      </c>
      <c r="E9" s="2" t="inlineStr">
        <is>
          <t>商品主数据/渠道后台</t>
        </is>
      </c>
      <c r="F9" s="2" t="inlineStr">
        <is>
          <t>每日</t>
        </is>
      </c>
      <c r="G9" s="2" t="inlineStr">
        <is>
          <t>产品/运营</t>
        </is>
      </c>
      <c r="H9" s="4" t="inlineStr">
        <is>
          <t>是</t>
        </is>
      </c>
      <c r="I9" s="2" t="inlineStr">
        <is>
          <t>B6061101</t>
        </is>
      </c>
    </row>
    <row r="10">
      <c r="A10" s="3" t="inlineStr">
        <is>
          <t>新老品</t>
        </is>
      </c>
      <c r="B10" s="3" t="inlineStr">
        <is>
          <t>Product Lifecycle</t>
        </is>
      </c>
      <c r="C10" s="3" t="inlineStr">
        <is>
          <t>维度</t>
        </is>
      </c>
      <c r="D10" s="3" t="inlineStr">
        <is>
          <t>新品或成熟品</t>
        </is>
      </c>
      <c r="E10" s="3" t="inlineStr">
        <is>
          <t>商品主数据</t>
        </is>
      </c>
      <c r="F10" s="3" t="inlineStr">
        <is>
          <t>每月</t>
        </is>
      </c>
      <c r="G10" s="3" t="inlineStr">
        <is>
          <t>产品</t>
        </is>
      </c>
      <c r="H10" s="3" t="inlineStr">
        <is>
          <t>否</t>
        </is>
      </c>
      <c r="I10" s="3" t="inlineStr">
        <is>
          <t>New / Existing</t>
        </is>
      </c>
    </row>
    <row r="11">
      <c r="A11" s="2" t="inlineStr">
        <is>
          <t>销售模式</t>
        </is>
      </c>
      <c r="B11" s="2" t="inlineStr">
        <is>
          <t>Sales Model</t>
        </is>
      </c>
      <c r="C11" s="2" t="inlineStr">
        <is>
          <t>维度</t>
        </is>
      </c>
      <c r="D11" s="2" t="inlineStr">
        <is>
          <t>履约和商业模式</t>
        </is>
      </c>
      <c r="E11" s="2" t="inlineStr">
        <is>
          <t>订单系统</t>
        </is>
      </c>
      <c r="F11" s="2" t="inlineStr">
        <is>
          <t>每日</t>
        </is>
      </c>
      <c r="G11" s="2" t="inlineStr">
        <is>
          <t>运营</t>
        </is>
      </c>
      <c r="H11" s="2" t="inlineStr">
        <is>
          <t>否</t>
        </is>
      </c>
      <c r="I11" s="2" t="inlineStr">
        <is>
          <t>FBA / FBM / 1P / 3P / DTC</t>
        </is>
      </c>
    </row>
    <row r="12">
      <c r="A12" s="3" t="inlineStr">
        <is>
          <t>活动类型</t>
        </is>
      </c>
      <c r="B12" s="3" t="inlineStr">
        <is>
          <t>Campaign Type</t>
        </is>
      </c>
      <c r="C12" s="3" t="inlineStr">
        <is>
          <t>维度</t>
        </is>
      </c>
      <c r="D12" s="3" t="inlineStr">
        <is>
          <t>促销或营销活动类型</t>
        </is>
      </c>
      <c r="E12" s="3" t="inlineStr">
        <is>
          <t>营销系统/活动台账</t>
        </is>
      </c>
      <c r="F12" s="3" t="inlineStr">
        <is>
          <t>每日</t>
        </is>
      </c>
      <c r="G12" s="3" t="inlineStr">
        <is>
          <t>营销/运营</t>
        </is>
      </c>
      <c r="H12" s="3" t="inlineStr">
        <is>
          <t>否</t>
        </is>
      </c>
      <c r="I12" s="3" t="inlineStr">
        <is>
          <t>Prime Day / Coupon / Deal</t>
        </is>
      </c>
    </row>
    <row r="13">
      <c r="A13" s="2" t="inlineStr">
        <is>
          <t>流量来源</t>
        </is>
      </c>
      <c r="B13" s="2" t="inlineStr">
        <is>
          <t>Traffic Source</t>
        </is>
      </c>
      <c r="C13" s="2" t="inlineStr">
        <is>
          <t>维度</t>
        </is>
      </c>
      <c r="D13" s="2" t="inlineStr">
        <is>
          <t>流量归因来源</t>
        </is>
      </c>
      <c r="E13" s="2" t="inlineStr">
        <is>
          <t>广告/分析系统</t>
        </is>
      </c>
      <c r="F13" s="2" t="inlineStr">
        <is>
          <t>每日</t>
        </is>
      </c>
      <c r="G13" s="2" t="inlineStr">
        <is>
          <t>广告/BI</t>
        </is>
      </c>
      <c r="H13" s="2" t="inlineStr">
        <is>
          <t>否</t>
        </is>
      </c>
      <c r="I13" s="2" t="inlineStr">
        <is>
          <t>Organic / Sponsored / Store</t>
        </is>
      </c>
    </row>
    <row r="14">
      <c r="A14" s="3" t="inlineStr">
        <is>
          <t>责任部门</t>
        </is>
      </c>
      <c r="B14" s="3" t="inlineStr">
        <is>
          <t>Responsible Team</t>
        </is>
      </c>
      <c r="C14" s="3" t="inlineStr">
        <is>
          <t>维度</t>
        </is>
      </c>
      <c r="D14" s="3" t="inlineStr">
        <is>
          <t>经营责任归属</t>
        </is>
      </c>
      <c r="E14" s="3" t="inlineStr">
        <is>
          <t>组织架构</t>
        </is>
      </c>
      <c r="F14" s="3" t="inlineStr">
        <is>
          <t>每月</t>
        </is>
      </c>
      <c r="G14" s="3" t="inlineStr">
        <is>
          <t>管理层</t>
        </is>
      </c>
      <c r="H14" s="4" t="inlineStr">
        <is>
          <t>是</t>
        </is>
      </c>
      <c r="I14" s="3" t="inlineStr">
        <is>
          <t>销售/广告/供应链</t>
        </is>
      </c>
    </row>
    <row r="15">
      <c r="A15" s="2" t="inlineStr">
        <is>
          <t>责任人</t>
        </is>
      </c>
      <c r="B15" s="2" t="inlineStr">
        <is>
          <t>Owner</t>
        </is>
      </c>
      <c r="C15" s="2" t="inlineStr">
        <is>
          <t>维度</t>
        </is>
      </c>
      <c r="D15" s="2" t="inlineStr">
        <is>
          <t>具体业务Owner</t>
        </is>
      </c>
      <c r="E15" s="2" t="inlineStr">
        <is>
          <t>组织架构</t>
        </is>
      </c>
      <c r="F15" s="2" t="inlineStr">
        <is>
          <t>每月</t>
        </is>
      </c>
      <c r="G15" s="2" t="inlineStr">
        <is>
          <t>管理层</t>
        </is>
      </c>
      <c r="H15" s="4" t="inlineStr">
        <is>
          <t>是</t>
        </is>
      </c>
      <c r="I15" s="2" t="inlineStr">
        <is>
          <t>Business Owner</t>
        </is>
      </c>
    </row>
  </sheetData>
  <autoFilter ref="A1:I15"/>
  <dataValidations count="1">
    <dataValidation sqref="H2:H15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6A34A"/>
    <outlinePr summaryBelow="1" summaryRight="1"/>
    <pageSetUpPr/>
  </sheetPr>
  <dimension ref="A1:I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44" customWidth="1" min="4" max="4"/>
    <col width="24" customWidth="1" min="5" max="5"/>
    <col width="14" customWidth="1" min="6" max="6"/>
    <col width="18" customWidth="1" min="7" max="7"/>
    <col width="12" customWidth="1" min="8" max="8"/>
    <col width="32" customWidth="1" min="9" max="9"/>
  </cols>
  <sheetData>
    <row r="1">
      <c r="A1" s="1" t="inlineStr">
        <is>
          <t>字段名称</t>
        </is>
      </c>
      <c r="B1" s="1" t="inlineStr">
        <is>
          <t>English Field</t>
        </is>
      </c>
      <c r="C1" s="1" t="inlineStr">
        <is>
          <t>字段类型/公式</t>
        </is>
      </c>
      <c r="D1" s="1" t="inlineStr">
        <is>
          <t>业务含义</t>
        </is>
      </c>
      <c r="E1" s="1" t="inlineStr">
        <is>
          <t>建议数据源</t>
        </is>
      </c>
      <c r="F1" s="1" t="inlineStr">
        <is>
          <t>更新频率</t>
        </is>
      </c>
      <c r="G1" s="1" t="inlineStr">
        <is>
          <t>责任方</t>
        </is>
      </c>
      <c r="H1" s="1" t="inlineStr">
        <is>
          <t>是否必填</t>
        </is>
      </c>
      <c r="I1" s="1" t="inlineStr">
        <is>
          <t>示例/备注</t>
        </is>
      </c>
    </row>
    <row r="2">
      <c r="A2" s="3" t="inlineStr">
        <is>
          <t>GMV</t>
        </is>
      </c>
      <c r="B2" s="3" t="inlineStr">
        <is>
          <t>GMV</t>
        </is>
      </c>
      <c r="C2" s="3" t="inlineStr">
        <is>
          <t>金额</t>
        </is>
      </c>
      <c r="D2" s="3" t="inlineStr">
        <is>
          <t>渠道前端成交额</t>
        </is>
      </c>
      <c r="E2" s="3" t="inlineStr">
        <is>
          <t>渠道后台/订单系统</t>
        </is>
      </c>
      <c r="F2" s="3" t="inlineStr">
        <is>
          <t>每日</t>
        </is>
      </c>
      <c r="G2" s="3" t="inlineStr">
        <is>
          <t>渠道运营</t>
        </is>
      </c>
      <c r="H2" s="4" t="inlineStr">
        <is>
          <t>是</t>
        </is>
      </c>
      <c r="I2" s="3" t="inlineStr">
        <is>
          <t>含未发货和未退款需调节</t>
        </is>
      </c>
    </row>
    <row r="3">
      <c r="A3" s="2" t="inlineStr">
        <is>
          <t>净销售额</t>
        </is>
      </c>
      <c r="B3" s="2" t="inlineStr">
        <is>
          <t>Net Sales</t>
        </is>
      </c>
      <c r="C3" s="2" t="inlineStr">
        <is>
          <t>公式</t>
        </is>
      </c>
      <c r="D3" s="2" t="inlineStr">
        <is>
          <t>管理口径收入，扣除退款、税费等</t>
        </is>
      </c>
      <c r="E3" s="2" t="inlineStr">
        <is>
          <t>口径调节桥</t>
        </is>
      </c>
      <c r="F3" s="2" t="inlineStr">
        <is>
          <t>每日/月度</t>
        </is>
      </c>
      <c r="G3" s="2" t="inlineStr">
        <is>
          <t>FP&amp;A</t>
        </is>
      </c>
      <c r="H3" s="4" t="inlineStr">
        <is>
          <t>是</t>
        </is>
      </c>
      <c r="I3" s="2">
        <f>GMV-退款-税费-未发货调整</f>
        <v/>
      </c>
    </row>
    <row r="4">
      <c r="A4" s="3" t="inlineStr">
        <is>
          <t>财务收入</t>
        </is>
      </c>
      <c r="B4" s="3" t="inlineStr">
        <is>
          <t>Financial Revenue</t>
        </is>
      </c>
      <c r="C4" s="3" t="inlineStr">
        <is>
          <t>金额</t>
        </is>
      </c>
      <c r="D4" s="3" t="inlineStr">
        <is>
          <t>财务确认收入</t>
        </is>
      </c>
      <c r="E4" s="3" t="inlineStr">
        <is>
          <t>ERP/总账</t>
        </is>
      </c>
      <c r="F4" s="3" t="inlineStr">
        <is>
          <t>月度</t>
        </is>
      </c>
      <c r="G4" s="3" t="inlineStr">
        <is>
          <t>财务</t>
        </is>
      </c>
      <c r="H4" s="4" t="inlineStr">
        <is>
          <t>是</t>
        </is>
      </c>
      <c r="I4" s="3" t="inlineStr">
        <is>
          <t>权责发生制</t>
        </is>
      </c>
    </row>
    <row r="5">
      <c r="A5" s="2" t="inlineStr">
        <is>
          <t>毛利</t>
        </is>
      </c>
      <c r="B5" s="2" t="inlineStr">
        <is>
          <t>Gross Profit</t>
        </is>
      </c>
      <c r="C5" s="2" t="inlineStr">
        <is>
          <t>公式</t>
        </is>
      </c>
      <c r="D5" s="2" t="inlineStr">
        <is>
          <t>净销售额减直接成本</t>
        </is>
      </c>
      <c r="E5" s="2" t="inlineStr">
        <is>
          <t>管理利润表</t>
        </is>
      </c>
      <c r="F5" s="2" t="inlineStr">
        <is>
          <t>每日/月度</t>
        </is>
      </c>
      <c r="G5" s="2" t="inlineStr">
        <is>
          <t>FP&amp;A</t>
        </is>
      </c>
      <c r="H5" s="4" t="inlineStr">
        <is>
          <t>是</t>
        </is>
      </c>
      <c r="I5" s="2">
        <f>Net Sales-Product Cost-Direct Fulfillment Cost</f>
        <v/>
      </c>
    </row>
    <row r="6">
      <c r="A6" s="3" t="inlineStr">
        <is>
          <t>毛利率</t>
        </is>
      </c>
      <c r="B6" s="3" t="inlineStr">
        <is>
          <t>Gross Margin</t>
        </is>
      </c>
      <c r="C6" s="3" t="inlineStr">
        <is>
          <t>百分比</t>
        </is>
      </c>
      <c r="D6" s="3" t="inlineStr">
        <is>
          <t>毛利/净销售额</t>
        </is>
      </c>
      <c r="E6" s="3" t="inlineStr">
        <is>
          <t>管理利润表</t>
        </is>
      </c>
      <c r="F6" s="3" t="inlineStr">
        <is>
          <t>每日/月度</t>
        </is>
      </c>
      <c r="G6" s="3" t="inlineStr">
        <is>
          <t>FP&amp;A</t>
        </is>
      </c>
      <c r="H6" s="4" t="inlineStr">
        <is>
          <t>是</t>
        </is>
      </c>
      <c r="I6" s="3">
        <f>Gross Profit/Net Sales</f>
        <v/>
      </c>
    </row>
    <row r="7">
      <c r="A7" s="2" t="inlineStr">
        <is>
          <t>边际贡献</t>
        </is>
      </c>
      <c r="B7" s="2" t="inlineStr">
        <is>
          <t>Contribution Profit</t>
        </is>
      </c>
      <c r="C7" s="2" t="inlineStr">
        <is>
          <t>公式</t>
        </is>
      </c>
      <c r="D7" s="2" t="inlineStr">
        <is>
          <t>毛利减可变销售费用</t>
        </is>
      </c>
      <c r="E7" s="2" t="inlineStr">
        <is>
          <t>管理利润表</t>
        </is>
      </c>
      <c r="F7" s="2" t="inlineStr">
        <is>
          <t>月度</t>
        </is>
      </c>
      <c r="G7" s="2" t="inlineStr">
        <is>
          <t>FP&amp;A</t>
        </is>
      </c>
      <c r="H7" s="4" t="inlineStr">
        <is>
          <t>是</t>
        </is>
      </c>
      <c r="I7" s="2">
        <f>Gross Profit-Variable Selling Expense</f>
        <v/>
      </c>
    </row>
    <row r="8">
      <c r="A8" s="3" t="inlineStr">
        <is>
          <t>边际贡献率</t>
        </is>
      </c>
      <c r="B8" s="3" t="inlineStr">
        <is>
          <t>Contribution Margin</t>
        </is>
      </c>
      <c r="C8" s="3" t="inlineStr">
        <is>
          <t>百分比</t>
        </is>
      </c>
      <c r="D8" s="3" t="inlineStr">
        <is>
          <t>边际贡献/净销售额</t>
        </is>
      </c>
      <c r="E8" s="3" t="inlineStr">
        <is>
          <t>管理利润表</t>
        </is>
      </c>
      <c r="F8" s="3" t="inlineStr">
        <is>
          <t>月度</t>
        </is>
      </c>
      <c r="G8" s="3" t="inlineStr">
        <is>
          <t>FP&amp;A</t>
        </is>
      </c>
      <c r="H8" s="4" t="inlineStr">
        <is>
          <t>是</t>
        </is>
      </c>
      <c r="I8" s="3">
        <f>Contribution Profit/Net Sales</f>
        <v/>
      </c>
    </row>
    <row r="9">
      <c r="A9" s="2" t="inlineStr">
        <is>
          <t>经营利润</t>
        </is>
      </c>
      <c r="B9" s="2" t="inlineStr">
        <is>
          <t>Operating Profit</t>
        </is>
      </c>
      <c r="C9" s="2" t="inlineStr">
        <is>
          <t>公式</t>
        </is>
      </c>
      <c r="D9" s="2" t="inlineStr">
        <is>
          <t>边际贡献减可控固定费用</t>
        </is>
      </c>
      <c r="E9" s="2" t="inlineStr">
        <is>
          <t>管理利润表</t>
        </is>
      </c>
      <c r="F9" s="2" t="inlineStr">
        <is>
          <t>月度</t>
        </is>
      </c>
      <c r="G9" s="2" t="inlineStr">
        <is>
          <t>FP&amp;A</t>
        </is>
      </c>
      <c r="H9" s="4" t="inlineStr">
        <is>
          <t>是</t>
        </is>
      </c>
      <c r="I9" s="2">
        <f>Contribution Profit-Controlled Fixed Cost</f>
        <v/>
      </c>
    </row>
    <row r="10">
      <c r="A10" s="3" t="inlineStr">
        <is>
          <t>经营利润率</t>
        </is>
      </c>
      <c r="B10" s="3" t="inlineStr">
        <is>
          <t>Operating Margin</t>
        </is>
      </c>
      <c r="C10" s="3" t="inlineStr">
        <is>
          <t>百分比</t>
        </is>
      </c>
      <c r="D10" s="3" t="inlineStr">
        <is>
          <t>经营利润/净销售额</t>
        </is>
      </c>
      <c r="E10" s="3" t="inlineStr">
        <is>
          <t>管理利润表</t>
        </is>
      </c>
      <c r="F10" s="3" t="inlineStr">
        <is>
          <t>月度</t>
        </is>
      </c>
      <c r="G10" s="3" t="inlineStr">
        <is>
          <t>FP&amp;A</t>
        </is>
      </c>
      <c r="H10" s="4" t="inlineStr">
        <is>
          <t>是</t>
        </is>
      </c>
      <c r="I10" s="3">
        <f>Operating Profit/Net Sales</f>
        <v/>
      </c>
    </row>
    <row r="11">
      <c r="A11" s="2" t="inlineStr">
        <is>
          <t>现金流</t>
        </is>
      </c>
      <c r="B11" s="2" t="inlineStr">
        <is>
          <t>Cash Flow</t>
        </is>
      </c>
      <c r="C11" s="2" t="inlineStr">
        <is>
          <t>金额</t>
        </is>
      </c>
      <c r="D11" s="2" t="inlineStr">
        <is>
          <t>经营现金流或自由现金流</t>
        </is>
      </c>
      <c r="E11" s="2" t="inlineStr">
        <is>
          <t>现金流系统/ERP</t>
        </is>
      </c>
      <c r="F11" s="2" t="inlineStr">
        <is>
          <t>月度</t>
        </is>
      </c>
      <c r="G11" s="2" t="inlineStr">
        <is>
          <t>财务</t>
        </is>
      </c>
      <c r="H11" s="4" t="inlineStr">
        <is>
          <t>是</t>
        </is>
      </c>
      <c r="I11" s="2" t="inlineStr">
        <is>
          <t>OCF / FCF</t>
        </is>
      </c>
    </row>
    <row r="12">
      <c r="A12" s="3" t="inlineStr">
        <is>
          <t>预算达成率</t>
        </is>
      </c>
      <c r="B12" s="3" t="inlineStr">
        <is>
          <t>Budget Achievement</t>
        </is>
      </c>
      <c r="C12" s="3" t="inlineStr">
        <is>
          <t>百分比</t>
        </is>
      </c>
      <c r="D12" s="3" t="inlineStr">
        <is>
          <t>实际/预算</t>
        </is>
      </c>
      <c r="E12" s="3" t="inlineStr">
        <is>
          <t>预算系统/管理报表</t>
        </is>
      </c>
      <c r="F12" s="3" t="inlineStr">
        <is>
          <t>月度</t>
        </is>
      </c>
      <c r="G12" s="3" t="inlineStr">
        <is>
          <t>FP&amp;A</t>
        </is>
      </c>
      <c r="H12" s="4" t="inlineStr">
        <is>
          <t>是</t>
        </is>
      </c>
      <c r="I12" s="3">
        <f>Actual/Budget</f>
        <v/>
      </c>
    </row>
    <row r="13">
      <c r="A13" s="2" t="inlineStr">
        <is>
          <t>同比增长</t>
        </is>
      </c>
      <c r="B13" s="2" t="inlineStr">
        <is>
          <t>YoY Growth</t>
        </is>
      </c>
      <c r="C13" s="2" t="inlineStr">
        <is>
          <t>百分比</t>
        </is>
      </c>
      <c r="D13" s="2" t="inlineStr">
        <is>
          <t>相比去年同期增长率</t>
        </is>
      </c>
      <c r="E13" s="2" t="inlineStr">
        <is>
          <t>管理报表</t>
        </is>
      </c>
      <c r="F13" s="2" t="inlineStr">
        <is>
          <t>月度</t>
        </is>
      </c>
      <c r="G13" s="2" t="inlineStr">
        <is>
          <t>FP&amp;A</t>
        </is>
      </c>
      <c r="H13" s="4" t="inlineStr">
        <is>
          <t>是</t>
        </is>
      </c>
      <c r="I13" s="2">
        <f>(Actual-LY)/LY</f>
        <v/>
      </c>
    </row>
    <row r="14">
      <c r="A14" s="3" t="inlineStr">
        <is>
          <t>环比增长</t>
        </is>
      </c>
      <c r="B14" s="3" t="inlineStr">
        <is>
          <t>MoM Growth</t>
        </is>
      </c>
      <c r="C14" s="3" t="inlineStr">
        <is>
          <t>百分比</t>
        </is>
      </c>
      <c r="D14" s="3" t="inlineStr">
        <is>
          <t>相比上月增长率</t>
        </is>
      </c>
      <c r="E14" s="3" t="inlineStr">
        <is>
          <t>管理报表</t>
        </is>
      </c>
      <c r="F14" s="3" t="inlineStr">
        <is>
          <t>月度</t>
        </is>
      </c>
      <c r="G14" s="3" t="inlineStr">
        <is>
          <t>FP&amp;A</t>
        </is>
      </c>
      <c r="H14" s="3" t="inlineStr">
        <is>
          <t>否</t>
        </is>
      </c>
      <c r="I14" s="3">
        <f>(Actual-LM)/LM</f>
        <v/>
      </c>
    </row>
  </sheetData>
  <autoFilter ref="A1:I14"/>
  <dataValidations count="1">
    <dataValidation sqref="H2:H14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97706"/>
    <outlinePr summaryBelow="1" summaryRight="1"/>
    <pageSetUpPr/>
  </sheetPr>
  <dimension ref="A1:I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44" customWidth="1" min="4" max="4"/>
    <col width="24" customWidth="1" min="5" max="5"/>
    <col width="14" customWidth="1" min="6" max="6"/>
    <col width="18" customWidth="1" min="7" max="7"/>
    <col width="12" customWidth="1" min="8" max="8"/>
    <col width="32" customWidth="1" min="9" max="9"/>
  </cols>
  <sheetData>
    <row r="1">
      <c r="A1" s="1" t="inlineStr">
        <is>
          <t>字段名称</t>
        </is>
      </c>
      <c r="B1" s="1" t="inlineStr">
        <is>
          <t>English Field</t>
        </is>
      </c>
      <c r="C1" s="1" t="inlineStr">
        <is>
          <t>字段类型/公式</t>
        </is>
      </c>
      <c r="D1" s="1" t="inlineStr">
        <is>
          <t>业务含义</t>
        </is>
      </c>
      <c r="E1" s="1" t="inlineStr">
        <is>
          <t>建议数据源</t>
        </is>
      </c>
      <c r="F1" s="1" t="inlineStr">
        <is>
          <t>更新频率</t>
        </is>
      </c>
      <c r="G1" s="1" t="inlineStr">
        <is>
          <t>责任方</t>
        </is>
      </c>
      <c r="H1" s="1" t="inlineStr">
        <is>
          <t>是否必填</t>
        </is>
      </c>
      <c r="I1" s="1" t="inlineStr">
        <is>
          <t>示例/备注</t>
        </is>
      </c>
    </row>
    <row r="2">
      <c r="A2" s="3" t="inlineStr">
        <is>
          <t>GMV</t>
        </is>
      </c>
      <c r="B2" s="3" t="inlineStr">
        <is>
          <t>GMV</t>
        </is>
      </c>
      <c r="C2" s="3" t="inlineStr">
        <is>
          <t>金额</t>
        </is>
      </c>
      <c r="D2" s="3" t="inlineStr">
        <is>
          <t>平台成交金额</t>
        </is>
      </c>
      <c r="E2" s="3" t="inlineStr">
        <is>
          <t>渠道后台</t>
        </is>
      </c>
      <c r="F2" s="3" t="inlineStr">
        <is>
          <t>每日</t>
        </is>
      </c>
      <c r="G2" s="3" t="inlineStr">
        <is>
          <t>渠道运营</t>
        </is>
      </c>
      <c r="H2" s="4" t="inlineStr">
        <is>
          <t>是</t>
        </is>
      </c>
      <c r="I2" s="3" t="inlineStr">
        <is>
          <t>渠道口径起点</t>
        </is>
      </c>
    </row>
    <row r="3">
      <c r="A3" s="2" t="inlineStr">
        <is>
          <t>未发货订单调整</t>
        </is>
      </c>
      <c r="B3" s="2" t="inlineStr">
        <is>
          <t>Unshipped Order Adjustment</t>
        </is>
      </c>
      <c r="C3" s="2" t="inlineStr">
        <is>
          <t>金额</t>
        </is>
      </c>
      <c r="D3" s="2" t="inlineStr">
        <is>
          <t>剔除未发货订单金额</t>
        </is>
      </c>
      <c r="E3" s="2" t="inlineStr">
        <is>
          <t>订单系统</t>
        </is>
      </c>
      <c r="F3" s="2" t="inlineStr">
        <is>
          <t>每日/月度</t>
        </is>
      </c>
      <c r="G3" s="2" t="inlineStr">
        <is>
          <t>FP&amp;A/运营</t>
        </is>
      </c>
      <c r="H3" s="4" t="inlineStr">
        <is>
          <t>是</t>
        </is>
      </c>
      <c r="I3" s="2" t="inlineStr">
        <is>
          <t>渠道转管理调整项</t>
        </is>
      </c>
    </row>
    <row r="4">
      <c r="A4" s="3" t="inlineStr">
        <is>
          <t>退款/退货调整</t>
        </is>
      </c>
      <c r="B4" s="3" t="inlineStr">
        <is>
          <t>Refund/Return Adjustment</t>
        </is>
      </c>
      <c r="C4" s="3" t="inlineStr">
        <is>
          <t>金额</t>
        </is>
      </c>
      <c r="D4" s="3" t="inlineStr">
        <is>
          <t>已退款及预估退货</t>
        </is>
      </c>
      <c r="E4" s="3" t="inlineStr">
        <is>
          <t>渠道后台/售后系统</t>
        </is>
      </c>
      <c r="F4" s="3" t="inlineStr">
        <is>
          <t>每日/月度</t>
        </is>
      </c>
      <c r="G4" s="3" t="inlineStr">
        <is>
          <t>FP&amp;A/客服</t>
        </is>
      </c>
      <c r="H4" s="4" t="inlineStr">
        <is>
          <t>是</t>
        </is>
      </c>
      <c r="I4" s="3" t="inlineStr">
        <is>
          <t>可含退货准备</t>
        </is>
      </c>
    </row>
    <row r="5">
      <c r="A5" s="2" t="inlineStr">
        <is>
          <t>税费调整</t>
        </is>
      </c>
      <c r="B5" s="2" t="inlineStr">
        <is>
          <t>Tax Adjustment</t>
        </is>
      </c>
      <c r="C5" s="2" t="inlineStr">
        <is>
          <t>金额</t>
        </is>
      </c>
      <c r="D5" s="2" t="inlineStr">
        <is>
          <t>VAT、Sales Tax、平台代扣税</t>
        </is>
      </c>
      <c r="E5" s="2" t="inlineStr">
        <is>
          <t>渠道后台/ERP</t>
        </is>
      </c>
      <c r="F5" s="2" t="inlineStr">
        <is>
          <t>月度</t>
        </is>
      </c>
      <c r="G5" s="2" t="inlineStr">
        <is>
          <t>财务</t>
        </is>
      </c>
      <c r="H5" s="4" t="inlineStr">
        <is>
          <t>是</t>
        </is>
      </c>
      <c r="I5" s="2" t="inlineStr">
        <is>
          <t>按站点规则处理</t>
        </is>
      </c>
    </row>
    <row r="6">
      <c r="A6" s="3" t="inlineStr">
        <is>
          <t>管理口径净销售额</t>
        </is>
      </c>
      <c r="B6" s="3" t="inlineStr">
        <is>
          <t>Management Net Sales</t>
        </is>
      </c>
      <c r="C6" s="3" t="inlineStr">
        <is>
          <t>公式</t>
        </is>
      </c>
      <c r="D6" s="3" t="inlineStr">
        <is>
          <t>经营分析收入基准</t>
        </is>
      </c>
      <c r="E6" s="3" t="inlineStr">
        <is>
          <t>口径调节桥</t>
        </is>
      </c>
      <c r="F6" s="3" t="inlineStr">
        <is>
          <t>每日/月度</t>
        </is>
      </c>
      <c r="G6" s="3" t="inlineStr">
        <is>
          <t>FP&amp;A</t>
        </is>
      </c>
      <c r="H6" s="4" t="inlineStr">
        <is>
          <t>是</t>
        </is>
      </c>
      <c r="I6" s="3">
        <f>GMV-调整项</f>
        <v/>
      </c>
    </row>
    <row r="7">
      <c r="A7" s="2" t="inlineStr">
        <is>
          <t>商品成本</t>
        </is>
      </c>
      <c r="B7" s="2" t="inlineStr">
        <is>
          <t>Product Cost</t>
        </is>
      </c>
      <c r="C7" s="2" t="inlineStr">
        <is>
          <t>金额</t>
        </is>
      </c>
      <c r="D7" s="2" t="inlineStr">
        <is>
          <t>采购成本、标准成本或实际成本</t>
        </is>
      </c>
      <c r="E7" s="2" t="inlineStr">
        <is>
          <t>ERP/成本系统</t>
        </is>
      </c>
      <c r="F7" s="2" t="inlineStr">
        <is>
          <t>月度</t>
        </is>
      </c>
      <c r="G7" s="2" t="inlineStr">
        <is>
          <t>财务/供应链</t>
        </is>
      </c>
      <c r="H7" s="4" t="inlineStr">
        <is>
          <t>是</t>
        </is>
      </c>
      <c r="I7" s="2" t="inlineStr">
        <is>
          <t>需统一标准成本或移动加权</t>
        </is>
      </c>
    </row>
    <row r="8">
      <c r="A8" s="3" t="inlineStr">
        <is>
          <t>头程物流</t>
        </is>
      </c>
      <c r="B8" s="3" t="inlineStr">
        <is>
          <t>Freight In</t>
        </is>
      </c>
      <c r="C8" s="3" t="inlineStr">
        <is>
          <t>金额</t>
        </is>
      </c>
      <c r="D8" s="3" t="inlineStr">
        <is>
          <t>工厂到海外仓/FBA入仓</t>
        </is>
      </c>
      <c r="E8" s="3" t="inlineStr">
        <is>
          <t>物流系统/ERP</t>
        </is>
      </c>
      <c r="F8" s="3" t="inlineStr">
        <is>
          <t>月度</t>
        </is>
      </c>
      <c r="G8" s="3" t="inlineStr">
        <is>
          <t>供应链/财务</t>
        </is>
      </c>
      <c r="H8" s="4" t="inlineStr">
        <is>
          <t>是</t>
        </is>
      </c>
      <c r="I8" s="3" t="inlineStr">
        <is>
          <t>可按体积/重量/件数分摊</t>
        </is>
      </c>
    </row>
    <row r="9">
      <c r="A9" s="2" t="inlineStr">
        <is>
          <t>履约费</t>
        </is>
      </c>
      <c r="B9" s="2" t="inlineStr">
        <is>
          <t>Fulfillment Fee</t>
        </is>
      </c>
      <c r="C9" s="2" t="inlineStr">
        <is>
          <t>金额</t>
        </is>
      </c>
      <c r="D9" s="2" t="inlineStr">
        <is>
          <t>FBA配送费、仓配费</t>
        </is>
      </c>
      <c r="E9" s="2" t="inlineStr">
        <is>
          <t>平台后台/物流系统</t>
        </is>
      </c>
      <c r="F9" s="2" t="inlineStr">
        <is>
          <t>每日/月度</t>
        </is>
      </c>
      <c r="G9" s="2" t="inlineStr">
        <is>
          <t>运营/财务</t>
        </is>
      </c>
      <c r="H9" s="4" t="inlineStr">
        <is>
          <t>是</t>
        </is>
      </c>
      <c r="I9" s="2" t="inlineStr">
        <is>
          <t>Amazon FBA Fee</t>
        </is>
      </c>
    </row>
    <row r="10">
      <c r="A10" s="3" t="inlineStr">
        <is>
          <t>平台佣金</t>
        </is>
      </c>
      <c r="B10" s="3" t="inlineStr">
        <is>
          <t>Platform Commission</t>
        </is>
      </c>
      <c r="C10" s="3" t="inlineStr">
        <is>
          <t>金额</t>
        </is>
      </c>
      <c r="D10" s="3" t="inlineStr">
        <is>
          <t>平台销售佣金</t>
        </is>
      </c>
      <c r="E10" s="3" t="inlineStr">
        <is>
          <t>渠道后台</t>
        </is>
      </c>
      <c r="F10" s="3" t="inlineStr">
        <is>
          <t>每日/月度</t>
        </is>
      </c>
      <c r="G10" s="3" t="inlineStr">
        <is>
          <t>渠道运营</t>
        </is>
      </c>
      <c r="H10" s="4" t="inlineStr">
        <is>
          <t>是</t>
        </is>
      </c>
      <c r="I10" s="3" t="inlineStr">
        <is>
          <t>Referral Fee</t>
        </is>
      </c>
    </row>
    <row r="11">
      <c r="A11" s="2" t="inlineStr">
        <is>
          <t>支付手续费</t>
        </is>
      </c>
      <c r="B11" s="2" t="inlineStr">
        <is>
          <t>Payment Fee</t>
        </is>
      </c>
      <c r="C11" s="2" t="inlineStr">
        <is>
          <t>金额</t>
        </is>
      </c>
      <c r="D11" s="2" t="inlineStr">
        <is>
          <t>信用卡、PayPal、平台支付费</t>
        </is>
      </c>
      <c r="E11" s="2" t="inlineStr">
        <is>
          <t>支付系统/渠道后台</t>
        </is>
      </c>
      <c r="F11" s="2" t="inlineStr">
        <is>
          <t>月度</t>
        </is>
      </c>
      <c r="G11" s="2" t="inlineStr">
        <is>
          <t>财务</t>
        </is>
      </c>
      <c r="H11" s="2" t="inlineStr">
        <is>
          <t>否</t>
        </is>
      </c>
      <c r="I11" s="2" t="inlineStr">
        <is>
          <t>DTC常见</t>
        </is>
      </c>
    </row>
    <row r="12">
      <c r="A12" s="3" t="inlineStr">
        <is>
          <t>退货成本</t>
        </is>
      </c>
      <c r="B12" s="3" t="inlineStr">
        <is>
          <t>Return Cost</t>
        </is>
      </c>
      <c r="C12" s="3" t="inlineStr">
        <is>
          <t>金额</t>
        </is>
      </c>
      <c r="D12" s="3" t="inlineStr">
        <is>
          <t>退货运费、返修、报废</t>
        </is>
      </c>
      <c r="E12" s="3" t="inlineStr">
        <is>
          <t>售后/物流/ERP</t>
        </is>
      </c>
      <c r="F12" s="3" t="inlineStr">
        <is>
          <t>月度</t>
        </is>
      </c>
      <c r="G12" s="3" t="inlineStr">
        <is>
          <t>客服/供应链</t>
        </is>
      </c>
      <c r="H12" s="4" t="inlineStr">
        <is>
          <t>是</t>
        </is>
      </c>
      <c r="I12" s="3" t="inlineStr">
        <is>
          <t>可按退货率预估</t>
        </is>
      </c>
    </row>
    <row r="13">
      <c r="A13" s="2" t="inlineStr">
        <is>
          <t>毛利</t>
        </is>
      </c>
      <c r="B13" s="2" t="inlineStr">
        <is>
          <t>Gross Profit</t>
        </is>
      </c>
      <c r="C13" s="2" t="inlineStr">
        <is>
          <t>公式</t>
        </is>
      </c>
      <c r="D13" s="2" t="inlineStr">
        <is>
          <t>净销售额减直接成本</t>
        </is>
      </c>
      <c r="E13" s="2" t="inlineStr">
        <is>
          <t>管理利润表</t>
        </is>
      </c>
      <c r="F13" s="2" t="inlineStr">
        <is>
          <t>月度</t>
        </is>
      </c>
      <c r="G13" s="2" t="inlineStr">
        <is>
          <t>FP&amp;A</t>
        </is>
      </c>
      <c r="H13" s="4" t="inlineStr">
        <is>
          <t>是</t>
        </is>
      </c>
      <c r="I13" s="2">
        <f>Net Sales-直接成本</f>
        <v/>
      </c>
    </row>
    <row r="14">
      <c r="A14" s="3" t="inlineStr">
        <is>
          <t>广告费</t>
        </is>
      </c>
      <c r="B14" s="3" t="inlineStr">
        <is>
          <t>Advertising Spend</t>
        </is>
      </c>
      <c r="C14" s="3" t="inlineStr">
        <is>
          <t>金额</t>
        </is>
      </c>
      <c r="D14" s="3" t="inlineStr">
        <is>
          <t>站内和站外广告费</t>
        </is>
      </c>
      <c r="E14" s="3" t="inlineStr">
        <is>
          <t>广告平台</t>
        </is>
      </c>
      <c r="F14" s="3" t="inlineStr">
        <is>
          <t>每日/月度</t>
        </is>
      </c>
      <c r="G14" s="3" t="inlineStr">
        <is>
          <t>广告团队</t>
        </is>
      </c>
      <c r="H14" s="4" t="inlineStr">
        <is>
          <t>是</t>
        </is>
      </c>
      <c r="I14" s="3" t="inlineStr">
        <is>
          <t>SP/SB/SD/Meta/TikTok</t>
        </is>
      </c>
    </row>
    <row r="15">
      <c r="A15" s="2" t="inlineStr">
        <is>
          <t>促销费用</t>
        </is>
      </c>
      <c r="B15" s="2" t="inlineStr">
        <is>
          <t>Promotion Cost</t>
        </is>
      </c>
      <c r="C15" s="2" t="inlineStr">
        <is>
          <t>金额</t>
        </is>
      </c>
      <c r="D15" s="2" t="inlineStr">
        <is>
          <t>Coupon、Deal、折扣补贴</t>
        </is>
      </c>
      <c r="E15" s="2" t="inlineStr">
        <is>
          <t>渠道后台/活动台账</t>
        </is>
      </c>
      <c r="F15" s="2" t="inlineStr">
        <is>
          <t>每日/月度</t>
        </is>
      </c>
      <c r="G15" s="2" t="inlineStr">
        <is>
          <t>运营</t>
        </is>
      </c>
      <c r="H15" s="4" t="inlineStr">
        <is>
          <t>是</t>
        </is>
      </c>
      <c r="I15" s="2" t="inlineStr">
        <is>
          <t>Deal Fee/Coupon</t>
        </is>
      </c>
    </row>
    <row r="16">
      <c r="A16" s="3" t="inlineStr">
        <is>
          <t>达人/联盟费用</t>
        </is>
      </c>
      <c r="B16" s="3" t="inlineStr">
        <is>
          <t>Affiliate/Influencer Cost</t>
        </is>
      </c>
      <c r="C16" s="3" t="inlineStr">
        <is>
          <t>金额</t>
        </is>
      </c>
      <c r="D16" s="3" t="inlineStr">
        <is>
          <t>KOL、联盟、达人投放费用</t>
        </is>
      </c>
      <c r="E16" s="3" t="inlineStr">
        <is>
          <t>营销系统/合同台账</t>
        </is>
      </c>
      <c r="F16" s="3" t="inlineStr">
        <is>
          <t>月度</t>
        </is>
      </c>
      <c r="G16" s="3" t="inlineStr">
        <is>
          <t>营销</t>
        </is>
      </c>
      <c r="H16" s="3" t="inlineStr">
        <is>
          <t>否</t>
        </is>
      </c>
      <c r="I16" s="3" t="inlineStr">
        <is>
          <t>站外费用</t>
        </is>
      </c>
    </row>
    <row r="17">
      <c r="A17" s="2" t="inlineStr">
        <is>
          <t>可变销售费用</t>
        </is>
      </c>
      <c r="B17" s="2" t="inlineStr">
        <is>
          <t>Variable Selling Expense</t>
        </is>
      </c>
      <c r="C17" s="2" t="inlineStr">
        <is>
          <t>公式</t>
        </is>
      </c>
      <c r="D17" s="2" t="inlineStr">
        <is>
          <t>广告、促销、佣金等可变费用</t>
        </is>
      </c>
      <c r="E17" s="2" t="inlineStr">
        <is>
          <t>管理利润表</t>
        </is>
      </c>
      <c r="F17" s="2" t="inlineStr">
        <is>
          <t>月度</t>
        </is>
      </c>
      <c r="G17" s="2" t="inlineStr">
        <is>
          <t>FP&amp;A</t>
        </is>
      </c>
      <c r="H17" s="4" t="inlineStr">
        <is>
          <t>是</t>
        </is>
      </c>
      <c r="I17" s="2">
        <f>广告+促销+达人等</f>
        <v/>
      </c>
    </row>
    <row r="18">
      <c r="A18" s="3" t="inlineStr">
        <is>
          <t>边际贡献</t>
        </is>
      </c>
      <c r="B18" s="3" t="inlineStr">
        <is>
          <t>Contribution Profit</t>
        </is>
      </c>
      <c r="C18" s="3" t="inlineStr">
        <is>
          <t>公式</t>
        </is>
      </c>
      <c r="D18" s="3" t="inlineStr">
        <is>
          <t>毛利减可变销售费用</t>
        </is>
      </c>
      <c r="E18" s="3" t="inlineStr">
        <is>
          <t>管理利润表</t>
        </is>
      </c>
      <c r="F18" s="3" t="inlineStr">
        <is>
          <t>月度</t>
        </is>
      </c>
      <c r="G18" s="3" t="inlineStr">
        <is>
          <t>FP&amp;A</t>
        </is>
      </c>
      <c r="H18" s="4" t="inlineStr">
        <is>
          <t>是</t>
        </is>
      </c>
      <c r="I18" s="3">
        <f>Gross Profit-Variable Selling Expense</f>
        <v/>
      </c>
    </row>
    <row r="19">
      <c r="A19" s="2" t="inlineStr">
        <is>
          <t>人员成本</t>
        </is>
      </c>
      <c r="B19" s="2" t="inlineStr">
        <is>
          <t>Personnel Cost</t>
        </is>
      </c>
      <c r="C19" s="2" t="inlineStr">
        <is>
          <t>金额</t>
        </is>
      </c>
      <c r="D19" s="2" t="inlineStr">
        <is>
          <t>可控团队人力成本</t>
        </is>
      </c>
      <c r="E19" s="2" t="inlineStr">
        <is>
          <t>HR/财务</t>
        </is>
      </c>
      <c r="F19" s="2" t="inlineStr">
        <is>
          <t>月度</t>
        </is>
      </c>
      <c r="G19" s="2" t="inlineStr">
        <is>
          <t>HR/财务</t>
        </is>
      </c>
      <c r="H19" s="2" t="inlineStr">
        <is>
          <t>否</t>
        </is>
      </c>
      <c r="I19" s="2" t="inlineStr">
        <is>
          <t>按责任中心</t>
        </is>
      </c>
    </row>
    <row r="20">
      <c r="A20" s="3" t="inlineStr">
        <is>
          <t>固定仓储费</t>
        </is>
      </c>
      <c r="B20" s="3" t="inlineStr">
        <is>
          <t>Warehousing Fixed Cost</t>
        </is>
      </c>
      <c r="C20" s="3" t="inlineStr">
        <is>
          <t>金额</t>
        </is>
      </c>
      <c r="D20" s="3" t="inlineStr">
        <is>
          <t>仓租、仓库管理费</t>
        </is>
      </c>
      <c r="E20" s="3" t="inlineStr">
        <is>
          <t>WMS/ERP</t>
        </is>
      </c>
      <c r="F20" s="3" t="inlineStr">
        <is>
          <t>月度</t>
        </is>
      </c>
      <c r="G20" s="3" t="inlineStr">
        <is>
          <t>供应链/财务</t>
        </is>
      </c>
      <c r="H20" s="3" t="inlineStr">
        <is>
          <t>否</t>
        </is>
      </c>
      <c r="I20" s="3" t="inlineStr">
        <is>
          <t>按面积/件数/体积分摊</t>
        </is>
      </c>
    </row>
    <row r="21">
      <c r="A21" s="2" t="inlineStr">
        <is>
          <t>品牌/创意成本</t>
        </is>
      </c>
      <c r="B21" s="2" t="inlineStr">
        <is>
          <t>Brand/Creative Cost</t>
        </is>
      </c>
      <c r="C21" s="2" t="inlineStr">
        <is>
          <t>金额</t>
        </is>
      </c>
      <c r="D21" s="2" t="inlineStr">
        <is>
          <t>品牌、设计、内容制作成本</t>
        </is>
      </c>
      <c r="E21" s="2" t="inlineStr">
        <is>
          <t>营销/财务</t>
        </is>
      </c>
      <c r="F21" s="2" t="inlineStr">
        <is>
          <t>月度</t>
        </is>
      </c>
      <c r="G21" s="2" t="inlineStr">
        <is>
          <t>营销/财务</t>
        </is>
      </c>
      <c r="H21" s="2" t="inlineStr">
        <is>
          <t>否</t>
        </is>
      </c>
      <c r="I21" s="2" t="inlineStr">
        <is>
          <t>可视情况分摊</t>
        </is>
      </c>
    </row>
    <row r="22">
      <c r="A22" s="3" t="inlineStr">
        <is>
          <t>研发分摊</t>
        </is>
      </c>
      <c r="B22" s="3" t="inlineStr">
        <is>
          <t>R&amp;D Allocation</t>
        </is>
      </c>
      <c r="C22" s="3" t="inlineStr">
        <is>
          <t>金额</t>
        </is>
      </c>
      <c r="D22" s="3" t="inlineStr">
        <is>
          <t>研发费用分摊到产品线</t>
        </is>
      </c>
      <c r="E22" s="3" t="inlineStr">
        <is>
          <t>ERP/研发台账</t>
        </is>
      </c>
      <c r="F22" s="3" t="inlineStr">
        <is>
          <t>月度</t>
        </is>
      </c>
      <c r="G22" s="3" t="inlineStr">
        <is>
          <t>财务/研发</t>
        </is>
      </c>
      <c r="H22" s="3" t="inlineStr">
        <is>
          <t>否</t>
        </is>
      </c>
      <c r="I22" s="3" t="inlineStr">
        <is>
          <t>非强考核项</t>
        </is>
      </c>
    </row>
    <row r="23">
      <c r="A23" s="2" t="inlineStr">
        <is>
          <t>总部分摊</t>
        </is>
      </c>
      <c r="B23" s="2" t="inlineStr">
        <is>
          <t>HQ Allocation</t>
        </is>
      </c>
      <c r="C23" s="2" t="inlineStr">
        <is>
          <t>金额</t>
        </is>
      </c>
      <c r="D23" s="2" t="inlineStr">
        <is>
          <t>总部管理费用分摊</t>
        </is>
      </c>
      <c r="E23" s="2" t="inlineStr">
        <is>
          <t>ERP</t>
        </is>
      </c>
      <c r="F23" s="2" t="inlineStr">
        <is>
          <t>月度</t>
        </is>
      </c>
      <c r="G23" s="2" t="inlineStr">
        <is>
          <t>财务</t>
        </is>
      </c>
      <c r="H23" s="2" t="inlineStr">
        <is>
          <t>否</t>
        </is>
      </c>
      <c r="I23" s="2" t="inlineStr">
        <is>
          <t>给高层看，不一定考核业务</t>
        </is>
      </c>
    </row>
    <row r="24">
      <c r="A24" s="3" t="inlineStr">
        <is>
          <t>经营利润</t>
        </is>
      </c>
      <c r="B24" s="3" t="inlineStr">
        <is>
          <t>Operating Profit</t>
        </is>
      </c>
      <c r="C24" s="3" t="inlineStr">
        <is>
          <t>公式</t>
        </is>
      </c>
      <c r="D24" s="3" t="inlineStr">
        <is>
          <t>边际贡献减固定费用/分摊费用</t>
        </is>
      </c>
      <c r="E24" s="3" t="inlineStr">
        <is>
          <t>管理利润表</t>
        </is>
      </c>
      <c r="F24" s="3" t="inlineStr">
        <is>
          <t>月度</t>
        </is>
      </c>
      <c r="G24" s="3" t="inlineStr">
        <is>
          <t>FP&amp;A</t>
        </is>
      </c>
      <c r="H24" s="4" t="inlineStr">
        <is>
          <t>是</t>
        </is>
      </c>
      <c r="I24" s="3">
        <f>Contribution Profit-Fixed Cost-Allocation</f>
        <v/>
      </c>
    </row>
    <row r="25">
      <c r="A25" s="2" t="inlineStr">
        <is>
          <t>非经营项目</t>
        </is>
      </c>
      <c r="B25" s="2" t="inlineStr">
        <is>
          <t>Non-operating Items</t>
        </is>
      </c>
      <c r="C25" s="2" t="inlineStr">
        <is>
          <t>金额</t>
        </is>
      </c>
      <c r="D25" s="2" t="inlineStr">
        <is>
          <t>汇兑损益、营业外收支等</t>
        </is>
      </c>
      <c r="E25" s="2" t="inlineStr">
        <is>
          <t>ERP</t>
        </is>
      </c>
      <c r="F25" s="2" t="inlineStr">
        <is>
          <t>月度</t>
        </is>
      </c>
      <c r="G25" s="2" t="inlineStr">
        <is>
          <t>财务</t>
        </is>
      </c>
      <c r="H25" s="2" t="inlineStr">
        <is>
          <t>否</t>
        </is>
      </c>
      <c r="I25" s="2" t="inlineStr">
        <is>
          <t>单独列示</t>
        </is>
      </c>
    </row>
    <row r="26">
      <c r="A26" s="3" t="inlineStr">
        <is>
          <t>管理口径净利润</t>
        </is>
      </c>
      <c r="B26" s="3" t="inlineStr">
        <is>
          <t>Management Net Profit</t>
        </is>
      </c>
      <c r="C26" s="3" t="inlineStr">
        <is>
          <t>公式</t>
        </is>
      </c>
      <c r="D26" s="3" t="inlineStr">
        <is>
          <t>内部经营评价利润</t>
        </is>
      </c>
      <c r="E26" s="3" t="inlineStr">
        <is>
          <t>管理利润表</t>
        </is>
      </c>
      <c r="F26" s="3" t="inlineStr">
        <is>
          <t>月度</t>
        </is>
      </c>
      <c r="G26" s="3" t="inlineStr">
        <is>
          <t>FP&amp;A</t>
        </is>
      </c>
      <c r="H26" s="4" t="inlineStr">
        <is>
          <t>是</t>
        </is>
      </c>
      <c r="I26" s="3">
        <f>Operating Profit+/-Non-operating Items</f>
        <v/>
      </c>
    </row>
  </sheetData>
  <autoFilter ref="A1:I26"/>
  <dataValidations count="1">
    <dataValidation sqref="H2:H26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C3AED"/>
    <outlinePr summaryBelow="1" summaryRight="1"/>
    <pageSetUpPr/>
  </sheetPr>
  <dimension ref="A1:I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44" customWidth="1" min="4" max="4"/>
    <col width="24" customWidth="1" min="5" max="5"/>
    <col width="14" customWidth="1" min="6" max="6"/>
    <col width="18" customWidth="1" min="7" max="7"/>
    <col width="12" customWidth="1" min="8" max="8"/>
    <col width="32" customWidth="1" min="9" max="9"/>
  </cols>
  <sheetData>
    <row r="1">
      <c r="A1" s="1" t="inlineStr">
        <is>
          <t>字段名称</t>
        </is>
      </c>
      <c r="B1" s="1" t="inlineStr">
        <is>
          <t>English Field</t>
        </is>
      </c>
      <c r="C1" s="1" t="inlineStr">
        <is>
          <t>字段类型/公式</t>
        </is>
      </c>
      <c r="D1" s="1" t="inlineStr">
        <is>
          <t>业务含义</t>
        </is>
      </c>
      <c r="E1" s="1" t="inlineStr">
        <is>
          <t>建议数据源</t>
        </is>
      </c>
      <c r="F1" s="1" t="inlineStr">
        <is>
          <t>更新频率</t>
        </is>
      </c>
      <c r="G1" s="1" t="inlineStr">
        <is>
          <t>责任方</t>
        </is>
      </c>
      <c r="H1" s="1" t="inlineStr">
        <is>
          <t>是否必填</t>
        </is>
      </c>
      <c r="I1" s="1" t="inlineStr">
        <is>
          <t>示例/备注</t>
        </is>
      </c>
    </row>
    <row r="2">
      <c r="A2" s="3" t="inlineStr">
        <is>
          <t>访问量</t>
        </is>
      </c>
      <c r="B2" s="3" t="inlineStr">
        <is>
          <t>Sessions</t>
        </is>
      </c>
      <c r="C2" s="3" t="inlineStr">
        <is>
          <t>数量</t>
        </is>
      </c>
      <c r="D2" s="3" t="inlineStr">
        <is>
          <t>店铺或Listing访问量</t>
        </is>
      </c>
      <c r="E2" s="3" t="inlineStr">
        <is>
          <t>渠道后台/分析系统</t>
        </is>
      </c>
      <c r="F2" s="3" t="inlineStr">
        <is>
          <t>每日</t>
        </is>
      </c>
      <c r="G2" s="3" t="inlineStr">
        <is>
          <t>运营/BI</t>
        </is>
      </c>
      <c r="H2" s="4" t="inlineStr">
        <is>
          <t>是</t>
        </is>
      </c>
      <c r="I2" s="3" t="inlineStr">
        <is>
          <t>Amazon Sessions</t>
        </is>
      </c>
    </row>
    <row r="3">
      <c r="A3" s="2" t="inlineStr">
        <is>
          <t>页面浏览量</t>
        </is>
      </c>
      <c r="B3" s="2" t="inlineStr">
        <is>
          <t>Page Views</t>
        </is>
      </c>
      <c r="C3" s="2" t="inlineStr">
        <is>
          <t>数量</t>
        </is>
      </c>
      <c r="D3" s="2" t="inlineStr">
        <is>
          <t>页面浏览规模</t>
        </is>
      </c>
      <c r="E3" s="2" t="inlineStr">
        <is>
          <t>渠道后台/分析系统</t>
        </is>
      </c>
      <c r="F3" s="2" t="inlineStr">
        <is>
          <t>每日</t>
        </is>
      </c>
      <c r="G3" s="2" t="inlineStr">
        <is>
          <t>运营/BI</t>
        </is>
      </c>
      <c r="H3" s="2" t="inlineStr">
        <is>
          <t>否</t>
        </is>
      </c>
      <c r="I3" s="2" t="inlineStr">
        <is>
          <t>PV</t>
        </is>
      </c>
    </row>
    <row r="4">
      <c r="A4" s="3" t="inlineStr">
        <is>
          <t>点击率</t>
        </is>
      </c>
      <c r="B4" s="3" t="inlineStr">
        <is>
          <t>CTR</t>
        </is>
      </c>
      <c r="C4" s="3" t="inlineStr">
        <is>
          <t>百分比</t>
        </is>
      </c>
      <c r="D4" s="3" t="inlineStr">
        <is>
          <t>点击/曝光</t>
        </is>
      </c>
      <c r="E4" s="3" t="inlineStr">
        <is>
          <t>广告平台</t>
        </is>
      </c>
      <c r="F4" s="3" t="inlineStr">
        <is>
          <t>每日</t>
        </is>
      </c>
      <c r="G4" s="3" t="inlineStr">
        <is>
          <t>广告团队</t>
        </is>
      </c>
      <c r="H4" s="4" t="inlineStr">
        <is>
          <t>是</t>
        </is>
      </c>
      <c r="I4" s="3">
        <f>Clicks/Impressions</f>
        <v/>
      </c>
    </row>
    <row r="5">
      <c r="A5" s="2" t="inlineStr">
        <is>
          <t>转化率</t>
        </is>
      </c>
      <c r="B5" s="2" t="inlineStr">
        <is>
          <t>CVR</t>
        </is>
      </c>
      <c r="C5" s="2" t="inlineStr">
        <is>
          <t>百分比</t>
        </is>
      </c>
      <c r="D5" s="2" t="inlineStr">
        <is>
          <t>订单数/访问量</t>
        </is>
      </c>
      <c r="E5" s="2" t="inlineStr">
        <is>
          <t>渠道后台</t>
        </is>
      </c>
      <c r="F5" s="2" t="inlineStr">
        <is>
          <t>每日</t>
        </is>
      </c>
      <c r="G5" s="2" t="inlineStr">
        <is>
          <t>运营</t>
        </is>
      </c>
      <c r="H5" s="4" t="inlineStr">
        <is>
          <t>是</t>
        </is>
      </c>
      <c r="I5" s="2">
        <f>Orders/Sessions</f>
        <v/>
      </c>
    </row>
    <row r="6">
      <c r="A6" s="3" t="inlineStr">
        <is>
          <t>订单数</t>
        </is>
      </c>
      <c r="B6" s="3" t="inlineStr">
        <is>
          <t>Orders</t>
        </is>
      </c>
      <c r="C6" s="3" t="inlineStr">
        <is>
          <t>数量</t>
        </is>
      </c>
      <c r="D6" s="3" t="inlineStr">
        <is>
          <t>成交订单数量</t>
        </is>
      </c>
      <c r="E6" s="3" t="inlineStr">
        <is>
          <t>订单系统/渠道后台</t>
        </is>
      </c>
      <c r="F6" s="3" t="inlineStr">
        <is>
          <t>每日</t>
        </is>
      </c>
      <c r="G6" s="3" t="inlineStr">
        <is>
          <t>运营</t>
        </is>
      </c>
      <c r="H6" s="4" t="inlineStr">
        <is>
          <t>是</t>
        </is>
      </c>
      <c r="I6" s="3" t="inlineStr">
        <is>
          <t>按订单口径统一</t>
        </is>
      </c>
    </row>
    <row r="7">
      <c r="A7" s="2" t="inlineStr">
        <is>
          <t>销售件数</t>
        </is>
      </c>
      <c r="B7" s="2" t="inlineStr">
        <is>
          <t>Units Sold</t>
        </is>
      </c>
      <c r="C7" s="2" t="inlineStr">
        <is>
          <t>数量</t>
        </is>
      </c>
      <c r="D7" s="2" t="inlineStr">
        <is>
          <t>销售商品件数</t>
        </is>
      </c>
      <c r="E7" s="2" t="inlineStr">
        <is>
          <t>订单系统/渠道后台</t>
        </is>
      </c>
      <c r="F7" s="2" t="inlineStr">
        <is>
          <t>每日</t>
        </is>
      </c>
      <c r="G7" s="2" t="inlineStr">
        <is>
          <t>运营</t>
        </is>
      </c>
      <c r="H7" s="4" t="inlineStr">
        <is>
          <t>是</t>
        </is>
      </c>
      <c r="I7" s="2" t="inlineStr">
        <is>
          <t>Units</t>
        </is>
      </c>
    </row>
    <row r="8">
      <c r="A8" s="3" t="inlineStr">
        <is>
          <t>平均售价</t>
        </is>
      </c>
      <c r="B8" s="3" t="inlineStr">
        <is>
          <t>ASP</t>
        </is>
      </c>
      <c r="C8" s="3" t="inlineStr">
        <is>
          <t>公式</t>
        </is>
      </c>
      <c r="D8" s="3" t="inlineStr">
        <is>
          <t>净销售额/销售件数</t>
        </is>
      </c>
      <c r="E8" s="3" t="inlineStr">
        <is>
          <t>管理报表</t>
        </is>
      </c>
      <c r="F8" s="3" t="inlineStr">
        <is>
          <t>每日/月度</t>
        </is>
      </c>
      <c r="G8" s="3" t="inlineStr">
        <is>
          <t>FP&amp;A</t>
        </is>
      </c>
      <c r="H8" s="4" t="inlineStr">
        <is>
          <t>是</t>
        </is>
      </c>
      <c r="I8" s="3">
        <f>Net Sales/Units Sold</f>
        <v/>
      </c>
    </row>
    <row r="9">
      <c r="A9" s="2" t="inlineStr">
        <is>
          <t>客单价</t>
        </is>
      </c>
      <c r="B9" s="2" t="inlineStr">
        <is>
          <t>AOV</t>
        </is>
      </c>
      <c r="C9" s="2" t="inlineStr">
        <is>
          <t>公式</t>
        </is>
      </c>
      <c r="D9" s="2" t="inlineStr">
        <is>
          <t>净销售额/订单数</t>
        </is>
      </c>
      <c r="E9" s="2" t="inlineStr">
        <is>
          <t>管理报表</t>
        </is>
      </c>
      <c r="F9" s="2" t="inlineStr">
        <is>
          <t>每日/月度</t>
        </is>
      </c>
      <c r="G9" s="2" t="inlineStr">
        <is>
          <t>FP&amp;A</t>
        </is>
      </c>
      <c r="H9" s="4" t="inlineStr">
        <is>
          <t>是</t>
        </is>
      </c>
      <c r="I9" s="2">
        <f>Net Sales/Orders</f>
        <v/>
      </c>
    </row>
    <row r="10">
      <c r="A10" s="3" t="inlineStr">
        <is>
          <t>退货率</t>
        </is>
      </c>
      <c r="B10" s="3" t="inlineStr">
        <is>
          <t>Return Rate</t>
        </is>
      </c>
      <c r="C10" s="3" t="inlineStr">
        <is>
          <t>百分比</t>
        </is>
      </c>
      <c r="D10" s="3" t="inlineStr">
        <is>
          <t>退货件数/销售件数</t>
        </is>
      </c>
      <c r="E10" s="3" t="inlineStr">
        <is>
          <t>售后/渠道后台</t>
        </is>
      </c>
      <c r="F10" s="3" t="inlineStr">
        <is>
          <t>每日/月度</t>
        </is>
      </c>
      <c r="G10" s="3" t="inlineStr">
        <is>
          <t>客服/FP&amp;A</t>
        </is>
      </c>
      <c r="H10" s="4" t="inlineStr">
        <is>
          <t>是</t>
        </is>
      </c>
      <c r="I10" s="3">
        <f>Return Units/Sold Units</f>
        <v/>
      </c>
    </row>
    <row r="11">
      <c r="A11" s="2" t="inlineStr">
        <is>
          <t>星级评分</t>
        </is>
      </c>
      <c r="B11" s="2" t="inlineStr">
        <is>
          <t>Review Rating</t>
        </is>
      </c>
      <c r="C11" s="2" t="inlineStr">
        <is>
          <t>数值</t>
        </is>
      </c>
      <c r="D11" s="2" t="inlineStr">
        <is>
          <t>Listing评分</t>
        </is>
      </c>
      <c r="E11" s="2" t="inlineStr">
        <is>
          <t>渠道后台</t>
        </is>
      </c>
      <c r="F11" s="2" t="inlineStr">
        <is>
          <t>每日/周</t>
        </is>
      </c>
      <c r="G11" s="2" t="inlineStr">
        <is>
          <t>运营</t>
        </is>
      </c>
      <c r="H11" s="2" t="inlineStr">
        <is>
          <t>否</t>
        </is>
      </c>
      <c r="I11" s="2" t="inlineStr">
        <is>
          <t>4.5</t>
        </is>
      </c>
    </row>
    <row r="12">
      <c r="A12" s="3" t="inlineStr">
        <is>
          <t>评论数</t>
        </is>
      </c>
      <c r="B12" s="3" t="inlineStr">
        <is>
          <t>Review Count</t>
        </is>
      </c>
      <c r="C12" s="3" t="inlineStr">
        <is>
          <t>数量</t>
        </is>
      </c>
      <c r="D12" s="3" t="inlineStr">
        <is>
          <t>Listing评论数量</t>
        </is>
      </c>
      <c r="E12" s="3" t="inlineStr">
        <is>
          <t>渠道后台</t>
        </is>
      </c>
      <c r="F12" s="3" t="inlineStr">
        <is>
          <t>每日/周</t>
        </is>
      </c>
      <c r="G12" s="3" t="inlineStr">
        <is>
          <t>运营</t>
        </is>
      </c>
      <c r="H12" s="3" t="inlineStr">
        <is>
          <t>否</t>
        </is>
      </c>
      <c r="I12" s="3" t="inlineStr">
        <is>
          <t>Review Count</t>
        </is>
      </c>
    </row>
    <row r="13">
      <c r="A13" s="2" t="inlineStr">
        <is>
          <t>Buy Box占有率</t>
        </is>
      </c>
      <c r="B13" s="2" t="inlineStr">
        <is>
          <t>Buy Box Win Rate</t>
        </is>
      </c>
      <c r="C13" s="2" t="inlineStr">
        <is>
          <t>百分比</t>
        </is>
      </c>
      <c r="D13" s="2" t="inlineStr">
        <is>
          <t>Amazon Buy Box占有率</t>
        </is>
      </c>
      <c r="E13" s="2" t="inlineStr">
        <is>
          <t>渠道后台</t>
        </is>
      </c>
      <c r="F13" s="2" t="inlineStr">
        <is>
          <t>每日</t>
        </is>
      </c>
      <c r="G13" s="2" t="inlineStr">
        <is>
          <t>运营</t>
        </is>
      </c>
      <c r="H13" s="2" t="inlineStr">
        <is>
          <t>否</t>
        </is>
      </c>
      <c r="I13" s="2" t="inlineStr">
        <is>
          <t>Amazon场景</t>
        </is>
      </c>
    </row>
    <row r="14">
      <c r="A14" s="3" t="inlineStr">
        <is>
          <t>库存件数</t>
        </is>
      </c>
      <c r="B14" s="3" t="inlineStr">
        <is>
          <t>Inventory Units</t>
        </is>
      </c>
      <c r="C14" s="3" t="inlineStr">
        <is>
          <t>数量</t>
        </is>
      </c>
      <c r="D14" s="3" t="inlineStr">
        <is>
          <t>可售和在途库存</t>
        </is>
      </c>
      <c r="E14" s="3" t="inlineStr">
        <is>
          <t>WMS/ERP</t>
        </is>
      </c>
      <c r="F14" s="3" t="inlineStr">
        <is>
          <t>每日</t>
        </is>
      </c>
      <c r="G14" s="3" t="inlineStr">
        <is>
          <t>供应链</t>
        </is>
      </c>
      <c r="H14" s="4" t="inlineStr">
        <is>
          <t>是</t>
        </is>
      </c>
      <c r="I14" s="3" t="inlineStr">
        <is>
          <t>Available + Inbound</t>
        </is>
      </c>
    </row>
    <row r="15">
      <c r="A15" s="2" t="inlineStr">
        <is>
          <t>有货率</t>
        </is>
      </c>
      <c r="B15" s="2" t="inlineStr">
        <is>
          <t>In-stock Rate</t>
        </is>
      </c>
      <c r="C15" s="2" t="inlineStr">
        <is>
          <t>百分比</t>
        </is>
      </c>
      <c r="D15" s="2" t="inlineStr">
        <is>
          <t>商品可售可供比例</t>
        </is>
      </c>
      <c r="E15" s="2" t="inlineStr">
        <is>
          <t>WMS/渠道后台</t>
        </is>
      </c>
      <c r="F15" s="2" t="inlineStr">
        <is>
          <t>每日</t>
        </is>
      </c>
      <c r="G15" s="2" t="inlineStr">
        <is>
          <t>供应链/运营</t>
        </is>
      </c>
      <c r="H15" s="4" t="inlineStr">
        <is>
          <t>是</t>
        </is>
      </c>
      <c r="I15" s="2" t="inlineStr">
        <is>
          <t>可按SKU加权</t>
        </is>
      </c>
    </row>
    <row r="16">
      <c r="A16" s="3" t="inlineStr">
        <is>
          <t>缺货天数</t>
        </is>
      </c>
      <c r="B16" s="3" t="inlineStr">
        <is>
          <t>OOS Days</t>
        </is>
      </c>
      <c r="C16" s="3" t="inlineStr">
        <is>
          <t>数量</t>
        </is>
      </c>
      <c r="D16" s="3" t="inlineStr">
        <is>
          <t>缺货持续天数</t>
        </is>
      </c>
      <c r="E16" s="3" t="inlineStr">
        <is>
          <t>WMS/渠道后台</t>
        </is>
      </c>
      <c r="F16" s="3" t="inlineStr">
        <is>
          <t>每日</t>
        </is>
      </c>
      <c r="G16" s="3" t="inlineStr">
        <is>
          <t>供应链/运营</t>
        </is>
      </c>
      <c r="H16" s="4" t="inlineStr">
        <is>
          <t>是</t>
        </is>
      </c>
      <c r="I16" s="3" t="inlineStr">
        <is>
          <t>Out of Stock Days</t>
        </is>
      </c>
    </row>
    <row r="17">
      <c r="A17" s="2" t="inlineStr">
        <is>
          <t>销售消化率</t>
        </is>
      </c>
      <c r="B17" s="2" t="inlineStr">
        <is>
          <t>Sell-through Rate</t>
        </is>
      </c>
      <c r="C17" s="2" t="inlineStr">
        <is>
          <t>百分比</t>
        </is>
      </c>
      <c r="D17" s="2" t="inlineStr">
        <is>
          <t>销量/可售库存</t>
        </is>
      </c>
      <c r="E17" s="2" t="inlineStr">
        <is>
          <t>WMS/订单系统</t>
        </is>
      </c>
      <c r="F17" s="2" t="inlineStr">
        <is>
          <t>周/月</t>
        </is>
      </c>
      <c r="G17" s="2" t="inlineStr">
        <is>
          <t>供应链/FP&amp;A</t>
        </is>
      </c>
      <c r="H17" s="4" t="inlineStr">
        <is>
          <t>是</t>
        </is>
      </c>
      <c r="I17" s="2" t="inlineStr">
        <is>
          <t>库存健康指标</t>
        </is>
      </c>
    </row>
    <row r="18">
      <c r="A18" s="3" t="inlineStr">
        <is>
          <t>TACOS</t>
        </is>
      </c>
      <c r="B18" s="3" t="inlineStr">
        <is>
          <t>TACOS</t>
        </is>
      </c>
      <c r="C18" s="3" t="inlineStr">
        <is>
          <t>百分比</t>
        </is>
      </c>
      <c r="D18" s="3" t="inlineStr">
        <is>
          <t>广告费/总销售额</t>
        </is>
      </c>
      <c r="E18" s="3" t="inlineStr">
        <is>
          <t>广告平台/管理报表</t>
        </is>
      </c>
      <c r="F18" s="3" t="inlineStr">
        <is>
          <t>每日/月度</t>
        </is>
      </c>
      <c r="G18" s="3" t="inlineStr">
        <is>
          <t>广告/FP&amp;A</t>
        </is>
      </c>
      <c r="H18" s="4" t="inlineStr">
        <is>
          <t>是</t>
        </is>
      </c>
      <c r="I18" s="3">
        <f>Ad Spend/Total Sales</f>
        <v/>
      </c>
    </row>
    <row r="19">
      <c r="A19" s="2" t="inlineStr">
        <is>
          <t>ACOS</t>
        </is>
      </c>
      <c r="B19" s="2" t="inlineStr">
        <is>
          <t>ACOS</t>
        </is>
      </c>
      <c r="C19" s="2" t="inlineStr">
        <is>
          <t>百分比</t>
        </is>
      </c>
      <c r="D19" s="2" t="inlineStr">
        <is>
          <t>广告费/广告销售额</t>
        </is>
      </c>
      <c r="E19" s="2" t="inlineStr">
        <is>
          <t>广告平台</t>
        </is>
      </c>
      <c r="F19" s="2" t="inlineStr">
        <is>
          <t>每日</t>
        </is>
      </c>
      <c r="G19" s="2" t="inlineStr">
        <is>
          <t>广告团队</t>
        </is>
      </c>
      <c r="H19" s="4" t="inlineStr">
        <is>
          <t>是</t>
        </is>
      </c>
      <c r="I19" s="2">
        <f>Ad Spend/Ad Sales</f>
        <v/>
      </c>
    </row>
    <row r="20">
      <c r="A20" s="3" t="inlineStr">
        <is>
          <t>ROAS</t>
        </is>
      </c>
      <c r="B20" s="3" t="inlineStr">
        <is>
          <t>ROAS</t>
        </is>
      </c>
      <c r="C20" s="3" t="inlineStr">
        <is>
          <t>倍数</t>
        </is>
      </c>
      <c r="D20" s="3" t="inlineStr">
        <is>
          <t>广告销售额/广告费</t>
        </is>
      </c>
      <c r="E20" s="3" t="inlineStr">
        <is>
          <t>广告平台</t>
        </is>
      </c>
      <c r="F20" s="3" t="inlineStr">
        <is>
          <t>每日</t>
        </is>
      </c>
      <c r="G20" s="3" t="inlineStr">
        <is>
          <t>广告团队</t>
        </is>
      </c>
      <c r="H20" s="4" t="inlineStr">
        <is>
          <t>是</t>
        </is>
      </c>
      <c r="I20" s="3">
        <f>Ad Sales/Ad Spend</f>
        <v/>
      </c>
    </row>
    <row r="21">
      <c r="A21" s="2" t="inlineStr">
        <is>
          <t>CPC</t>
        </is>
      </c>
      <c r="B21" s="2" t="inlineStr">
        <is>
          <t>CPC</t>
        </is>
      </c>
      <c r="C21" s="2" t="inlineStr">
        <is>
          <t>金额</t>
        </is>
      </c>
      <c r="D21" s="2" t="inlineStr">
        <is>
          <t>单次点击成本</t>
        </is>
      </c>
      <c r="E21" s="2" t="inlineStr">
        <is>
          <t>广告平台</t>
        </is>
      </c>
      <c r="F21" s="2" t="inlineStr">
        <is>
          <t>每日</t>
        </is>
      </c>
      <c r="G21" s="2" t="inlineStr">
        <is>
          <t>广告团队</t>
        </is>
      </c>
      <c r="H21" s="4" t="inlineStr">
        <is>
          <t>是</t>
        </is>
      </c>
      <c r="I21" s="2">
        <f>Ad Spend/Clicks</f>
        <v/>
      </c>
    </row>
    <row r="22">
      <c r="A22" s="3" t="inlineStr">
        <is>
          <t>CPA</t>
        </is>
      </c>
      <c r="B22" s="3" t="inlineStr">
        <is>
          <t>CPA</t>
        </is>
      </c>
      <c r="C22" s="3" t="inlineStr">
        <is>
          <t>金额</t>
        </is>
      </c>
      <c r="D22" s="3" t="inlineStr">
        <is>
          <t>单次成交成本</t>
        </is>
      </c>
      <c r="E22" s="3" t="inlineStr">
        <is>
          <t>广告平台/订单系统</t>
        </is>
      </c>
      <c r="F22" s="3" t="inlineStr">
        <is>
          <t>每日</t>
        </is>
      </c>
      <c r="G22" s="3" t="inlineStr">
        <is>
          <t>广告团队</t>
        </is>
      </c>
      <c r="H22" s="3" t="inlineStr">
        <is>
          <t>否</t>
        </is>
      </c>
      <c r="I22" s="3">
        <f>Ad Spend/Orders</f>
        <v/>
      </c>
    </row>
  </sheetData>
  <autoFilter ref="A1:I22"/>
  <dataValidations count="1">
    <dataValidation sqref="H2:H22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11D48"/>
    <outlinePr summaryBelow="1" summaryRight="1"/>
    <pageSetUpPr/>
  </sheetPr>
  <dimension ref="A1:I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44" customWidth="1" min="4" max="4"/>
    <col width="24" customWidth="1" min="5" max="5"/>
    <col width="14" customWidth="1" min="6" max="6"/>
    <col width="18" customWidth="1" min="7" max="7"/>
    <col width="12" customWidth="1" min="8" max="8"/>
    <col width="32" customWidth="1" min="9" max="9"/>
  </cols>
  <sheetData>
    <row r="1">
      <c r="A1" s="1" t="inlineStr">
        <is>
          <t>字段名称</t>
        </is>
      </c>
      <c r="B1" s="1" t="inlineStr">
        <is>
          <t>English Field</t>
        </is>
      </c>
      <c r="C1" s="1" t="inlineStr">
        <is>
          <t>字段类型/公式</t>
        </is>
      </c>
      <c r="D1" s="1" t="inlineStr">
        <is>
          <t>业务含义</t>
        </is>
      </c>
      <c r="E1" s="1" t="inlineStr">
        <is>
          <t>建议数据源</t>
        </is>
      </c>
      <c r="F1" s="1" t="inlineStr">
        <is>
          <t>更新频率</t>
        </is>
      </c>
      <c r="G1" s="1" t="inlineStr">
        <is>
          <t>责任方</t>
        </is>
      </c>
      <c r="H1" s="1" t="inlineStr">
        <is>
          <t>是否必填</t>
        </is>
      </c>
      <c r="I1" s="1" t="inlineStr">
        <is>
          <t>示例/备注</t>
        </is>
      </c>
    </row>
    <row r="2">
      <c r="A2" s="3" t="inlineStr">
        <is>
          <t>实际值</t>
        </is>
      </c>
      <c r="B2" s="3" t="inlineStr">
        <is>
          <t>Actual</t>
        </is>
      </c>
      <c r="C2" s="3" t="inlineStr">
        <is>
          <t>金额/数值</t>
        </is>
      </c>
      <c r="D2" s="3" t="inlineStr">
        <is>
          <t>实际经营结果</t>
        </is>
      </c>
      <c r="E2" s="3" t="inlineStr">
        <is>
          <t>管理报表/ERP/渠道后台</t>
        </is>
      </c>
      <c r="F2" s="3" t="inlineStr">
        <is>
          <t>月度</t>
        </is>
      </c>
      <c r="G2" s="3" t="inlineStr">
        <is>
          <t>FP&amp;A</t>
        </is>
      </c>
      <c r="H2" s="4" t="inlineStr">
        <is>
          <t>是</t>
        </is>
      </c>
      <c r="I2" s="3" t="inlineStr">
        <is>
          <t>Actual</t>
        </is>
      </c>
    </row>
    <row r="3">
      <c r="A3" s="2" t="inlineStr">
        <is>
          <t>年度预算</t>
        </is>
      </c>
      <c r="B3" s="2" t="inlineStr">
        <is>
          <t>Budget</t>
        </is>
      </c>
      <c r="C3" s="2" t="inlineStr">
        <is>
          <t>金额/数值</t>
        </is>
      </c>
      <c r="D3" s="2" t="inlineStr">
        <is>
          <t>年度预算目标</t>
        </is>
      </c>
      <c r="E3" s="2" t="inlineStr">
        <is>
          <t>预算系统/Excel</t>
        </is>
      </c>
      <c r="F3" s="2" t="inlineStr">
        <is>
          <t>年度/月度</t>
        </is>
      </c>
      <c r="G3" s="2" t="inlineStr">
        <is>
          <t>FP&amp;A</t>
        </is>
      </c>
      <c r="H3" s="4" t="inlineStr">
        <is>
          <t>是</t>
        </is>
      </c>
      <c r="I3" s="2" t="inlineStr">
        <is>
          <t>Budget</t>
        </is>
      </c>
    </row>
    <row r="4">
      <c r="A4" s="3" t="inlineStr">
        <is>
          <t>最新预测</t>
        </is>
      </c>
      <c r="B4" s="3" t="inlineStr">
        <is>
          <t>Forecast</t>
        </is>
      </c>
      <c r="C4" s="3" t="inlineStr">
        <is>
          <t>金额/数值</t>
        </is>
      </c>
      <c r="D4" s="3" t="inlineStr">
        <is>
          <t>最新经营预测</t>
        </is>
      </c>
      <c r="E4" s="3" t="inlineStr">
        <is>
          <t>预测模型</t>
        </is>
      </c>
      <c r="F4" s="3" t="inlineStr">
        <is>
          <t>月度</t>
        </is>
      </c>
      <c r="G4" s="3" t="inlineStr">
        <is>
          <t>FP&amp;A</t>
        </is>
      </c>
      <c r="H4" s="4" t="inlineStr">
        <is>
          <t>是</t>
        </is>
      </c>
      <c r="I4" s="3" t="inlineStr">
        <is>
          <t>Forecast</t>
        </is>
      </c>
    </row>
    <row r="5">
      <c r="A5" s="2" t="inlineStr">
        <is>
          <t>滚动预测</t>
        </is>
      </c>
      <c r="B5" s="2" t="inlineStr">
        <is>
          <t>Rolling Forecast</t>
        </is>
      </c>
      <c r="C5" s="2" t="inlineStr">
        <is>
          <t>金额/数值</t>
        </is>
      </c>
      <c r="D5" s="2" t="inlineStr">
        <is>
          <t>未来12到18个月滚动预测</t>
        </is>
      </c>
      <c r="E5" s="2" t="inlineStr">
        <is>
          <t>预测模型</t>
        </is>
      </c>
      <c r="F5" s="2" t="inlineStr">
        <is>
          <t>月度/季度</t>
        </is>
      </c>
      <c r="G5" s="2" t="inlineStr">
        <is>
          <t>FP&amp;A</t>
        </is>
      </c>
      <c r="H5" s="2" t="inlineStr">
        <is>
          <t>否</t>
        </is>
      </c>
      <c r="I5" s="2" t="inlineStr">
        <is>
          <t>RF12/RF18</t>
        </is>
      </c>
    </row>
    <row r="6">
      <c r="A6" s="3" t="inlineStr">
        <is>
          <t>去年同期实际</t>
        </is>
      </c>
      <c r="B6" s="3" t="inlineStr">
        <is>
          <t>Last Year Actual</t>
        </is>
      </c>
      <c r="C6" s="3" t="inlineStr">
        <is>
          <t>金额/数值</t>
        </is>
      </c>
      <c r="D6" s="3" t="inlineStr">
        <is>
          <t>去年同期数据</t>
        </is>
      </c>
      <c r="E6" s="3" t="inlineStr">
        <is>
          <t>历史管理报表</t>
        </is>
      </c>
      <c r="F6" s="3" t="inlineStr">
        <is>
          <t>月度</t>
        </is>
      </c>
      <c r="G6" s="3" t="inlineStr">
        <is>
          <t>FP&amp;A/BI</t>
        </is>
      </c>
      <c r="H6" s="4" t="inlineStr">
        <is>
          <t>是</t>
        </is>
      </c>
      <c r="I6" s="3" t="inlineStr">
        <is>
          <t>LY Actual</t>
        </is>
      </c>
    </row>
    <row r="7">
      <c r="A7" s="2" t="inlineStr">
        <is>
          <t>预算差异</t>
        </is>
      </c>
      <c r="B7" s="2" t="inlineStr">
        <is>
          <t>Variance vs Budget</t>
        </is>
      </c>
      <c r="C7" s="2" t="inlineStr">
        <is>
          <t>公式</t>
        </is>
      </c>
      <c r="D7" s="2" t="inlineStr">
        <is>
          <t>实际减预算</t>
        </is>
      </c>
      <c r="E7" s="2" t="inlineStr">
        <is>
          <t>管理报表</t>
        </is>
      </c>
      <c r="F7" s="2" t="inlineStr">
        <is>
          <t>月度</t>
        </is>
      </c>
      <c r="G7" s="2" t="inlineStr">
        <is>
          <t>FP&amp;A</t>
        </is>
      </c>
      <c r="H7" s="4" t="inlineStr">
        <is>
          <t>是</t>
        </is>
      </c>
      <c r="I7" s="2">
        <f>Actual-Budget</f>
        <v/>
      </c>
    </row>
    <row r="8">
      <c r="A8" s="3" t="inlineStr">
        <is>
          <t>预算差异率</t>
        </is>
      </c>
      <c r="B8" s="3" t="inlineStr">
        <is>
          <t>Variance % vs Budget</t>
        </is>
      </c>
      <c r="C8" s="3" t="inlineStr">
        <is>
          <t>公式</t>
        </is>
      </c>
      <c r="D8" s="3" t="inlineStr">
        <is>
          <t>预算差异/预算</t>
        </is>
      </c>
      <c r="E8" s="3" t="inlineStr">
        <is>
          <t>管理报表</t>
        </is>
      </c>
      <c r="F8" s="3" t="inlineStr">
        <is>
          <t>月度</t>
        </is>
      </c>
      <c r="G8" s="3" t="inlineStr">
        <is>
          <t>FP&amp;A</t>
        </is>
      </c>
      <c r="H8" s="4" t="inlineStr">
        <is>
          <t>是</t>
        </is>
      </c>
      <c r="I8" s="3">
        <f>(Actual-Budget)/Budget</f>
        <v/>
      </c>
    </row>
    <row r="9">
      <c r="A9" s="2" t="inlineStr">
        <is>
          <t>预测差异</t>
        </is>
      </c>
      <c r="B9" s="2" t="inlineStr">
        <is>
          <t>Variance vs Forecast</t>
        </is>
      </c>
      <c r="C9" s="2" t="inlineStr">
        <is>
          <t>公式</t>
        </is>
      </c>
      <c r="D9" s="2" t="inlineStr">
        <is>
          <t>实际减预测</t>
        </is>
      </c>
      <c r="E9" s="2" t="inlineStr">
        <is>
          <t>管理报表</t>
        </is>
      </c>
      <c r="F9" s="2" t="inlineStr">
        <is>
          <t>月度</t>
        </is>
      </c>
      <c r="G9" s="2" t="inlineStr">
        <is>
          <t>FP&amp;A</t>
        </is>
      </c>
      <c r="H9" s="2" t="inlineStr">
        <is>
          <t>否</t>
        </is>
      </c>
      <c r="I9" s="2">
        <f>Actual-Forecast</f>
        <v/>
      </c>
    </row>
    <row r="10">
      <c r="A10" s="3" t="inlineStr">
        <is>
          <t>同比差异</t>
        </is>
      </c>
      <c r="B10" s="3" t="inlineStr">
        <is>
          <t>YoY Variance</t>
        </is>
      </c>
      <c r="C10" s="3" t="inlineStr">
        <is>
          <t>公式</t>
        </is>
      </c>
      <c r="D10" s="3" t="inlineStr">
        <is>
          <t>实际减去年同期</t>
        </is>
      </c>
      <c r="E10" s="3" t="inlineStr">
        <is>
          <t>管理报表</t>
        </is>
      </c>
      <c r="F10" s="3" t="inlineStr">
        <is>
          <t>月度</t>
        </is>
      </c>
      <c r="G10" s="3" t="inlineStr">
        <is>
          <t>FP&amp;A</t>
        </is>
      </c>
      <c r="H10" s="4" t="inlineStr">
        <is>
          <t>是</t>
        </is>
      </c>
      <c r="I10" s="3">
        <f>Actual-LY</f>
        <v/>
      </c>
    </row>
    <row r="11">
      <c r="A11" s="2" t="inlineStr">
        <is>
          <t>环比差异</t>
        </is>
      </c>
      <c r="B11" s="2" t="inlineStr">
        <is>
          <t>MoM Variance</t>
        </is>
      </c>
      <c r="C11" s="2" t="inlineStr">
        <is>
          <t>公式</t>
        </is>
      </c>
      <c r="D11" s="2" t="inlineStr">
        <is>
          <t>本月减上月</t>
        </is>
      </c>
      <c r="E11" s="2" t="inlineStr">
        <is>
          <t>管理报表</t>
        </is>
      </c>
      <c r="F11" s="2" t="inlineStr">
        <is>
          <t>月度</t>
        </is>
      </c>
      <c r="G11" s="2" t="inlineStr">
        <is>
          <t>FP&amp;A</t>
        </is>
      </c>
      <c r="H11" s="2" t="inlineStr">
        <is>
          <t>否</t>
        </is>
      </c>
      <c r="I11" s="2">
        <f>Current Month-Last Month</f>
        <v/>
      </c>
    </row>
    <row r="12">
      <c r="A12" s="3" t="inlineStr">
        <is>
          <t>数量差异</t>
        </is>
      </c>
      <c r="B12" s="3" t="inlineStr">
        <is>
          <t>Volume Variance</t>
        </is>
      </c>
      <c r="C12" s="3" t="inlineStr">
        <is>
          <t>计算项</t>
        </is>
      </c>
      <c r="D12" s="3" t="inlineStr">
        <is>
          <t>销量变化导致的收入/利润差异</t>
        </is>
      </c>
      <c r="E12" s="3" t="inlineStr">
        <is>
          <t>差异分析模型</t>
        </is>
      </c>
      <c r="F12" s="3" t="inlineStr">
        <is>
          <t>月度</t>
        </is>
      </c>
      <c r="G12" s="3" t="inlineStr">
        <is>
          <t>FP&amp;A</t>
        </is>
      </c>
      <c r="H12" s="3" t="inlineStr">
        <is>
          <t>否</t>
        </is>
      </c>
      <c r="I12" s="3" t="inlineStr">
        <is>
          <t>Volume Impact</t>
        </is>
      </c>
    </row>
    <row r="13">
      <c r="A13" s="2" t="inlineStr">
        <is>
          <t>价格差异</t>
        </is>
      </c>
      <c r="B13" s="2" t="inlineStr">
        <is>
          <t>Price Variance</t>
        </is>
      </c>
      <c r="C13" s="2" t="inlineStr">
        <is>
          <t>计算项</t>
        </is>
      </c>
      <c r="D13" s="2" t="inlineStr">
        <is>
          <t>价格变化导致的差异</t>
        </is>
      </c>
      <c r="E13" s="2" t="inlineStr">
        <is>
          <t>差异分析模型</t>
        </is>
      </c>
      <c r="F13" s="2" t="inlineStr">
        <is>
          <t>月度</t>
        </is>
      </c>
      <c r="G13" s="2" t="inlineStr">
        <is>
          <t>FP&amp;A</t>
        </is>
      </c>
      <c r="H13" s="2" t="inlineStr">
        <is>
          <t>否</t>
        </is>
      </c>
      <c r="I13" s="2" t="inlineStr">
        <is>
          <t>Price Impact</t>
        </is>
      </c>
    </row>
    <row r="14">
      <c r="A14" s="3" t="inlineStr">
        <is>
          <t>结构差异</t>
        </is>
      </c>
      <c r="B14" s="3" t="inlineStr">
        <is>
          <t>Mix Variance</t>
        </is>
      </c>
      <c r="C14" s="3" t="inlineStr">
        <is>
          <t>计算项</t>
        </is>
      </c>
      <c r="D14" s="3" t="inlineStr">
        <is>
          <t>产品/渠道结构变化导致的差异</t>
        </is>
      </c>
      <c r="E14" s="3" t="inlineStr">
        <is>
          <t>差异分析模型</t>
        </is>
      </c>
      <c r="F14" s="3" t="inlineStr">
        <is>
          <t>月度</t>
        </is>
      </c>
      <c r="G14" s="3" t="inlineStr">
        <is>
          <t>FP&amp;A</t>
        </is>
      </c>
      <c r="H14" s="3" t="inlineStr">
        <is>
          <t>否</t>
        </is>
      </c>
      <c r="I14" s="3" t="inlineStr">
        <is>
          <t>Mix Impact</t>
        </is>
      </c>
    </row>
    <row r="15">
      <c r="A15" s="2" t="inlineStr">
        <is>
          <t>成本差异</t>
        </is>
      </c>
      <c r="B15" s="2" t="inlineStr">
        <is>
          <t>Cost Variance</t>
        </is>
      </c>
      <c r="C15" s="2" t="inlineStr">
        <is>
          <t>计算项</t>
        </is>
      </c>
      <c r="D15" s="2" t="inlineStr">
        <is>
          <t>成本率变化导致的差异</t>
        </is>
      </c>
      <c r="E15" s="2" t="inlineStr">
        <is>
          <t>差异分析模型</t>
        </is>
      </c>
      <c r="F15" s="2" t="inlineStr">
        <is>
          <t>月度</t>
        </is>
      </c>
      <c r="G15" s="2" t="inlineStr">
        <is>
          <t>FP&amp;A</t>
        </is>
      </c>
      <c r="H15" s="2" t="inlineStr">
        <is>
          <t>否</t>
        </is>
      </c>
      <c r="I15" s="2" t="inlineStr">
        <is>
          <t>Cost Impact</t>
        </is>
      </c>
    </row>
    <row r="16">
      <c r="A16" s="3" t="inlineStr">
        <is>
          <t>汇率差异</t>
        </is>
      </c>
      <c r="B16" s="3" t="inlineStr">
        <is>
          <t>FX Variance</t>
        </is>
      </c>
      <c r="C16" s="3" t="inlineStr">
        <is>
          <t>计算项</t>
        </is>
      </c>
      <c r="D16" s="3" t="inlineStr">
        <is>
          <t>实际汇率与预算汇率差异影响</t>
        </is>
      </c>
      <c r="E16" s="3" t="inlineStr">
        <is>
          <t>汇率表/差异模型</t>
        </is>
      </c>
      <c r="F16" s="3" t="inlineStr">
        <is>
          <t>月度</t>
        </is>
      </c>
      <c r="G16" s="3" t="inlineStr">
        <is>
          <t>财务/FP&amp;A</t>
        </is>
      </c>
      <c r="H16" s="3" t="inlineStr">
        <is>
          <t>否</t>
        </is>
      </c>
      <c r="I16" s="3" t="inlineStr">
        <is>
          <t>FX Impact</t>
        </is>
      </c>
    </row>
    <row r="17">
      <c r="A17" s="2" t="inlineStr">
        <is>
          <t>差异原因说明</t>
        </is>
      </c>
      <c r="B17" s="2" t="inlineStr">
        <is>
          <t>Explanation</t>
        </is>
      </c>
      <c r="C17" s="2" t="inlineStr">
        <is>
          <t>文本</t>
        </is>
      </c>
      <c r="D17" s="2" t="inlineStr">
        <is>
          <t>管理层可读的原因解释</t>
        </is>
      </c>
      <c r="E17" s="2" t="inlineStr">
        <is>
          <t>手工录入/AI辅助</t>
        </is>
      </c>
      <c r="F17" s="2" t="inlineStr">
        <is>
          <t>月度</t>
        </is>
      </c>
      <c r="G17" s="2" t="inlineStr">
        <is>
          <t>业务Owner/FP&amp;A</t>
        </is>
      </c>
      <c r="H17" s="4" t="inlineStr">
        <is>
          <t>是</t>
        </is>
      </c>
      <c r="I17" s="2" t="inlineStr">
        <is>
          <t>销量低于预算因缺货7天</t>
        </is>
      </c>
    </row>
    <row r="18">
      <c r="A18" s="3" t="inlineStr">
        <is>
          <t>改善动作</t>
        </is>
      </c>
      <c r="B18" s="3" t="inlineStr">
        <is>
          <t>Action Plan</t>
        </is>
      </c>
      <c r="C18" s="3" t="inlineStr">
        <is>
          <t>文本</t>
        </is>
      </c>
      <c r="D18" s="3" t="inlineStr">
        <is>
          <t>针对差异的行动计划</t>
        </is>
      </c>
      <c r="E18" s="3" t="inlineStr">
        <is>
          <t>经营会纪要</t>
        </is>
      </c>
      <c r="F18" s="3" t="inlineStr">
        <is>
          <t>月度/周</t>
        </is>
      </c>
      <c r="G18" s="3" t="inlineStr">
        <is>
          <t>业务Owner</t>
        </is>
      </c>
      <c r="H18" s="4" t="inlineStr">
        <is>
          <t>是</t>
        </is>
      </c>
      <c r="I18" s="3" t="inlineStr">
        <is>
          <t>补货、调价、优化广告</t>
        </is>
      </c>
    </row>
    <row r="19">
      <c r="A19" s="2" t="inlineStr">
        <is>
          <t>责任人</t>
        </is>
      </c>
      <c r="B19" s="2" t="inlineStr">
        <is>
          <t>Owner</t>
        </is>
      </c>
      <c r="C19" s="2" t="inlineStr">
        <is>
          <t>文本</t>
        </is>
      </c>
      <c r="D19" s="2" t="inlineStr">
        <is>
          <t>动作责任人</t>
        </is>
      </c>
      <c r="E19" s="2" t="inlineStr">
        <is>
          <t>组织架构</t>
        </is>
      </c>
      <c r="F19" s="2" t="inlineStr">
        <is>
          <t>月度/周</t>
        </is>
      </c>
      <c r="G19" s="2" t="inlineStr">
        <is>
          <t>业务Owner</t>
        </is>
      </c>
      <c r="H19" s="4" t="inlineStr">
        <is>
          <t>是</t>
        </is>
      </c>
      <c r="I19" s="2" t="inlineStr">
        <is>
          <t>Owner姓名</t>
        </is>
      </c>
    </row>
    <row r="20">
      <c r="A20" s="3" t="inlineStr">
        <is>
          <t>完成时间</t>
        </is>
      </c>
      <c r="B20" s="3" t="inlineStr">
        <is>
          <t>Due Date</t>
        </is>
      </c>
      <c r="C20" s="3" t="inlineStr">
        <is>
          <t>日期</t>
        </is>
      </c>
      <c r="D20" s="3" t="inlineStr">
        <is>
          <t>行动计划完成时间</t>
        </is>
      </c>
      <c r="E20" s="3" t="inlineStr">
        <is>
          <t>经营会纪要</t>
        </is>
      </c>
      <c r="F20" s="3" t="inlineStr">
        <is>
          <t>月度/周</t>
        </is>
      </c>
      <c r="G20" s="3" t="inlineStr">
        <is>
          <t>业务Owner</t>
        </is>
      </c>
      <c r="H20" s="4" t="inlineStr">
        <is>
          <t>是</t>
        </is>
      </c>
      <c r="I20" s="3" t="inlineStr">
        <is>
          <t>2026-06-15</t>
        </is>
      </c>
    </row>
    <row r="21">
      <c r="A21" s="2" t="inlineStr">
        <is>
          <t>状态</t>
        </is>
      </c>
      <c r="B21" s="2" t="inlineStr">
        <is>
          <t>Status</t>
        </is>
      </c>
      <c r="C21" s="2" t="inlineStr">
        <is>
          <t>枚举</t>
        </is>
      </c>
      <c r="D21" s="2" t="inlineStr">
        <is>
          <t>行动状态</t>
        </is>
      </c>
      <c r="E21" s="2" t="inlineStr">
        <is>
          <t>经营会纪要</t>
        </is>
      </c>
      <c r="F21" s="2" t="inlineStr">
        <is>
          <t>月度/周</t>
        </is>
      </c>
      <c r="G21" s="2" t="inlineStr">
        <is>
          <t>业务Owner/FP&amp;A</t>
        </is>
      </c>
      <c r="H21" s="4" t="inlineStr">
        <is>
          <t>是</t>
        </is>
      </c>
      <c r="I21" s="2" t="inlineStr">
        <is>
          <t>Open / In Progress / Closed</t>
        </is>
      </c>
    </row>
  </sheetData>
  <autoFilter ref="A1:I21"/>
  <dataValidations count="1">
    <dataValidation sqref="H2:H21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F766E"/>
    <outlinePr summaryBelow="1" summaryRight="1"/>
    <pageSetUpPr/>
  </sheetPr>
  <dimension ref="A1:I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44" customWidth="1" min="4" max="4"/>
    <col width="24" customWidth="1" min="5" max="5"/>
    <col width="14" customWidth="1" min="6" max="6"/>
    <col width="18" customWidth="1" min="7" max="7"/>
    <col width="12" customWidth="1" min="8" max="8"/>
    <col width="32" customWidth="1" min="9" max="9"/>
  </cols>
  <sheetData>
    <row r="1">
      <c r="A1" s="1" t="inlineStr">
        <is>
          <t>字段名称</t>
        </is>
      </c>
      <c r="B1" s="1" t="inlineStr">
        <is>
          <t>English Field</t>
        </is>
      </c>
      <c r="C1" s="1" t="inlineStr">
        <is>
          <t>字段类型/公式</t>
        </is>
      </c>
      <c r="D1" s="1" t="inlineStr">
        <is>
          <t>业务含义</t>
        </is>
      </c>
      <c r="E1" s="1" t="inlineStr">
        <is>
          <t>建议数据源</t>
        </is>
      </c>
      <c r="F1" s="1" t="inlineStr">
        <is>
          <t>更新频率</t>
        </is>
      </c>
      <c r="G1" s="1" t="inlineStr">
        <is>
          <t>责任方</t>
        </is>
      </c>
      <c r="H1" s="1" t="inlineStr">
        <is>
          <t>是否必填</t>
        </is>
      </c>
      <c r="I1" s="1" t="inlineStr">
        <is>
          <t>示例/备注</t>
        </is>
      </c>
    </row>
    <row r="2">
      <c r="A2" s="3" t="inlineStr">
        <is>
          <t>渠道GMV</t>
        </is>
      </c>
      <c r="B2" s="3" t="inlineStr">
        <is>
          <t>Channel GMV</t>
        </is>
      </c>
      <c r="C2" s="3" t="inlineStr">
        <is>
          <t>金额</t>
        </is>
      </c>
      <c r="D2" s="3" t="inlineStr">
        <is>
          <t>渠道后台成交额</t>
        </is>
      </c>
      <c r="E2" s="3" t="inlineStr">
        <is>
          <t>渠道后台</t>
        </is>
      </c>
      <c r="F2" s="3" t="inlineStr">
        <is>
          <t>每日/月度</t>
        </is>
      </c>
      <c r="G2" s="3" t="inlineStr">
        <is>
          <t>渠道运营</t>
        </is>
      </c>
      <c r="H2" s="4" t="inlineStr">
        <is>
          <t>是</t>
        </is>
      </c>
      <c r="I2" s="3" t="inlineStr">
        <is>
          <t>调节桥起点</t>
        </is>
      </c>
    </row>
    <row r="3">
      <c r="A3" s="2" t="inlineStr">
        <is>
          <t>未发货调整</t>
        </is>
      </c>
      <c r="B3" s="2" t="inlineStr">
        <is>
          <t>Unshipped Order Adjustment</t>
        </is>
      </c>
      <c r="C3" s="2" t="inlineStr">
        <is>
          <t>金额</t>
        </is>
      </c>
      <c r="D3" s="2" t="inlineStr">
        <is>
          <t>剔除未发货订单</t>
        </is>
      </c>
      <c r="E3" s="2" t="inlineStr">
        <is>
          <t>订单系统</t>
        </is>
      </c>
      <c r="F3" s="2" t="inlineStr">
        <is>
          <t>每日/月度</t>
        </is>
      </c>
      <c r="G3" s="2" t="inlineStr">
        <is>
          <t>运营/FP&amp;A</t>
        </is>
      </c>
      <c r="H3" s="4" t="inlineStr">
        <is>
          <t>是</t>
        </is>
      </c>
      <c r="I3" s="2" t="inlineStr">
        <is>
          <t>时间性差异</t>
        </is>
      </c>
    </row>
    <row r="4">
      <c r="A4" s="3" t="inlineStr">
        <is>
          <t>取消订单调整</t>
        </is>
      </c>
      <c r="B4" s="3" t="inlineStr">
        <is>
          <t>Cancelled Order Adjustment</t>
        </is>
      </c>
      <c r="C4" s="3" t="inlineStr">
        <is>
          <t>金额</t>
        </is>
      </c>
      <c r="D4" s="3" t="inlineStr">
        <is>
          <t>剔除取消订单</t>
        </is>
      </c>
      <c r="E4" s="3" t="inlineStr">
        <is>
          <t>订单系统</t>
        </is>
      </c>
      <c r="F4" s="3" t="inlineStr">
        <is>
          <t>每日/月度</t>
        </is>
      </c>
      <c r="G4" s="3" t="inlineStr">
        <is>
          <t>运营/FP&amp;A</t>
        </is>
      </c>
      <c r="H4" s="4" t="inlineStr">
        <is>
          <t>是</t>
        </is>
      </c>
      <c r="I4" s="3" t="inlineStr">
        <is>
          <t>订单状态</t>
        </is>
      </c>
    </row>
    <row r="5">
      <c r="A5" s="2" t="inlineStr">
        <is>
          <t>退款调整</t>
        </is>
      </c>
      <c r="B5" s="2" t="inlineStr">
        <is>
          <t>Refund Adjustment</t>
        </is>
      </c>
      <c r="C5" s="2" t="inlineStr">
        <is>
          <t>金额</t>
        </is>
      </c>
      <c r="D5" s="2" t="inlineStr">
        <is>
          <t>剔除已发生退款</t>
        </is>
      </c>
      <c r="E5" s="2" t="inlineStr">
        <is>
          <t>渠道后台/售后系统</t>
        </is>
      </c>
      <c r="F5" s="2" t="inlineStr">
        <is>
          <t>每日/月度</t>
        </is>
      </c>
      <c r="G5" s="2" t="inlineStr">
        <is>
          <t>客服/FP&amp;A</t>
        </is>
      </c>
      <c r="H5" s="4" t="inlineStr">
        <is>
          <t>是</t>
        </is>
      </c>
      <c r="I5" s="2" t="inlineStr">
        <is>
          <t>Refund</t>
        </is>
      </c>
    </row>
    <row r="6">
      <c r="A6" s="3" t="inlineStr">
        <is>
          <t>预估退货准备</t>
        </is>
      </c>
      <c r="B6" s="3" t="inlineStr">
        <is>
          <t>Return Reserve</t>
        </is>
      </c>
      <c r="C6" s="3" t="inlineStr">
        <is>
          <t>金额</t>
        </is>
      </c>
      <c r="D6" s="3" t="inlineStr">
        <is>
          <t>按历史退货率预估未来退货</t>
        </is>
      </c>
      <c r="E6" s="3" t="inlineStr">
        <is>
          <t>售后系统/模型</t>
        </is>
      </c>
      <c r="F6" s="3" t="inlineStr">
        <is>
          <t>月度</t>
        </is>
      </c>
      <c r="G6" s="3" t="inlineStr">
        <is>
          <t>FP&amp;A/客服</t>
        </is>
      </c>
      <c r="H6" s="3" t="inlineStr">
        <is>
          <t>否</t>
        </is>
      </c>
      <c r="I6" s="3" t="inlineStr">
        <is>
          <t>Reserve</t>
        </is>
      </c>
    </row>
    <row r="7">
      <c r="A7" s="2" t="inlineStr">
        <is>
          <t>税费调整</t>
        </is>
      </c>
      <c r="B7" s="2" t="inlineStr">
        <is>
          <t>Tax Adjustment</t>
        </is>
      </c>
      <c r="C7" s="2" t="inlineStr">
        <is>
          <t>金额</t>
        </is>
      </c>
      <c r="D7" s="2" t="inlineStr">
        <is>
          <t>VAT、Sales Tax等税费调整</t>
        </is>
      </c>
      <c r="E7" s="2" t="inlineStr">
        <is>
          <t>渠道后台/ERP</t>
        </is>
      </c>
      <c r="F7" s="2" t="inlineStr">
        <is>
          <t>月度</t>
        </is>
      </c>
      <c r="G7" s="2" t="inlineStr">
        <is>
          <t>财务</t>
        </is>
      </c>
      <c r="H7" s="4" t="inlineStr">
        <is>
          <t>是</t>
        </is>
      </c>
      <c r="I7" s="2" t="inlineStr">
        <is>
          <t>Tax</t>
        </is>
      </c>
    </row>
    <row r="8">
      <c r="A8" s="3" t="inlineStr">
        <is>
          <t>时间性差异</t>
        </is>
      </c>
      <c r="B8" s="3" t="inlineStr">
        <is>
          <t>Timing Difference</t>
        </is>
      </c>
      <c r="C8" s="3" t="inlineStr">
        <is>
          <t>金额</t>
        </is>
      </c>
      <c r="D8" s="3" t="inlineStr">
        <is>
          <t>收入确认时点不同导致的差异</t>
        </is>
      </c>
      <c r="E8" s="3" t="inlineStr">
        <is>
          <t>订单系统/ERP</t>
        </is>
      </c>
      <c r="F8" s="3" t="inlineStr">
        <is>
          <t>月度</t>
        </is>
      </c>
      <c r="G8" s="3" t="inlineStr">
        <is>
          <t>财务/FP&amp;A</t>
        </is>
      </c>
      <c r="H8" s="3" t="inlineStr">
        <is>
          <t>否</t>
        </is>
      </c>
      <c r="I8" s="3" t="inlineStr">
        <is>
          <t>Timing</t>
        </is>
      </c>
    </row>
    <row r="9">
      <c r="A9" s="2" t="inlineStr">
        <is>
          <t>管理口径净销售额</t>
        </is>
      </c>
      <c r="B9" s="2" t="inlineStr">
        <is>
          <t>Management Net Sales</t>
        </is>
      </c>
      <c r="C9" s="2" t="inlineStr">
        <is>
          <t>公式</t>
        </is>
      </c>
      <c r="D9" s="2" t="inlineStr">
        <is>
          <t>内部经营分析收入</t>
        </is>
      </c>
      <c r="E9" s="2" t="inlineStr">
        <is>
          <t>调节桥</t>
        </is>
      </c>
      <c r="F9" s="2" t="inlineStr">
        <is>
          <t>每日/月度</t>
        </is>
      </c>
      <c r="G9" s="2" t="inlineStr">
        <is>
          <t>FP&amp;A</t>
        </is>
      </c>
      <c r="H9" s="4" t="inlineStr">
        <is>
          <t>是</t>
        </is>
      </c>
      <c r="I9" s="2">
        <f>Channel GMV-Adjustments</f>
        <v/>
      </c>
    </row>
    <row r="10">
      <c r="A10" s="3" t="inlineStr">
        <is>
          <t>收入确认调整</t>
        </is>
      </c>
      <c r="B10" s="3" t="inlineStr">
        <is>
          <t>Revenue Recognition Adjustment</t>
        </is>
      </c>
      <c r="C10" s="3" t="inlineStr">
        <is>
          <t>金额</t>
        </is>
      </c>
      <c r="D10" s="3" t="inlineStr">
        <is>
          <t>管理口径转财务收入的确认差异</t>
        </is>
      </c>
      <c r="E10" s="3" t="inlineStr">
        <is>
          <t>ERP/收入确认规则</t>
        </is>
      </c>
      <c r="F10" s="3" t="inlineStr">
        <is>
          <t>月度</t>
        </is>
      </c>
      <c r="G10" s="3" t="inlineStr">
        <is>
          <t>财务</t>
        </is>
      </c>
      <c r="H10" s="4" t="inlineStr">
        <is>
          <t>是</t>
        </is>
      </c>
      <c r="I10" s="3" t="inlineStr">
        <is>
          <t>财务收入桥接</t>
        </is>
      </c>
    </row>
    <row r="11">
      <c r="A11" s="2" t="inlineStr">
        <is>
          <t>计提调整</t>
        </is>
      </c>
      <c r="B11" s="2" t="inlineStr">
        <is>
          <t>Accrual Adjustment</t>
        </is>
      </c>
      <c r="C11" s="2" t="inlineStr">
        <is>
          <t>金额</t>
        </is>
      </c>
      <c r="D11" s="2" t="inlineStr">
        <is>
          <t>费用预提、摊销等调整</t>
        </is>
      </c>
      <c r="E11" s="2" t="inlineStr">
        <is>
          <t>ERP/财务台账</t>
        </is>
      </c>
      <c r="F11" s="2" t="inlineStr">
        <is>
          <t>月度</t>
        </is>
      </c>
      <c r="G11" s="2" t="inlineStr">
        <is>
          <t>财务/FP&amp;A</t>
        </is>
      </c>
      <c r="H11" s="4" t="inlineStr">
        <is>
          <t>是</t>
        </is>
      </c>
      <c r="I11" s="2" t="inlineStr">
        <is>
          <t>Accrual</t>
        </is>
      </c>
    </row>
    <row r="12">
      <c r="A12" s="3" t="inlineStr">
        <is>
          <t>汇兑调整</t>
        </is>
      </c>
      <c r="B12" s="3" t="inlineStr">
        <is>
          <t>FX Adjustment</t>
        </is>
      </c>
      <c r="C12" s="3" t="inlineStr">
        <is>
          <t>金额</t>
        </is>
      </c>
      <c r="D12" s="3" t="inlineStr">
        <is>
          <t>预算汇率与实际汇率差异</t>
        </is>
      </c>
      <c r="E12" s="3" t="inlineStr">
        <is>
          <t>汇率表/ERP</t>
        </is>
      </c>
      <c r="F12" s="3" t="inlineStr">
        <is>
          <t>月度</t>
        </is>
      </c>
      <c r="G12" s="3" t="inlineStr">
        <is>
          <t>财务</t>
        </is>
      </c>
      <c r="H12" s="3" t="inlineStr">
        <is>
          <t>否</t>
        </is>
      </c>
      <c r="I12" s="3" t="inlineStr">
        <is>
          <t>FX</t>
        </is>
      </c>
    </row>
    <row r="13">
      <c r="A13" s="2" t="inlineStr">
        <is>
          <t>一次性调整</t>
        </is>
      </c>
      <c r="B13" s="2" t="inlineStr">
        <is>
          <t>Non-recurring Adjustment</t>
        </is>
      </c>
      <c r="C13" s="2" t="inlineStr">
        <is>
          <t>金额</t>
        </is>
      </c>
      <c r="D13" s="2" t="inlineStr">
        <is>
          <t>非经常性项目</t>
        </is>
      </c>
      <c r="E13" s="2" t="inlineStr">
        <is>
          <t>ERP/财务说明</t>
        </is>
      </c>
      <c r="F13" s="2" t="inlineStr">
        <is>
          <t>月度</t>
        </is>
      </c>
      <c r="G13" s="2" t="inlineStr">
        <is>
          <t>财务</t>
        </is>
      </c>
      <c r="H13" s="2" t="inlineStr">
        <is>
          <t>否</t>
        </is>
      </c>
      <c r="I13" s="2" t="inlineStr">
        <is>
          <t>一次性费用或收益</t>
        </is>
      </c>
    </row>
    <row r="14">
      <c r="A14" s="3" t="inlineStr">
        <is>
          <t>财务口径收入/利润</t>
        </is>
      </c>
      <c r="B14" s="3" t="inlineStr">
        <is>
          <t>Financial Revenue/Profit</t>
        </is>
      </c>
      <c r="C14" s="3" t="inlineStr">
        <is>
          <t>金额</t>
        </is>
      </c>
      <c r="D14" s="3" t="inlineStr">
        <is>
          <t>财务报表确认金额</t>
        </is>
      </c>
      <c r="E14" s="3" t="inlineStr">
        <is>
          <t>ERP/总账</t>
        </is>
      </c>
      <c r="F14" s="3" t="inlineStr">
        <is>
          <t>月度</t>
        </is>
      </c>
      <c r="G14" s="3" t="inlineStr">
        <is>
          <t>财务</t>
        </is>
      </c>
      <c r="H14" s="4" t="inlineStr">
        <is>
          <t>是</t>
        </is>
      </c>
      <c r="I14" s="3" t="inlineStr">
        <is>
          <t>调节桥终点</t>
        </is>
      </c>
    </row>
    <row r="15">
      <c r="A15" s="2" t="inlineStr">
        <is>
          <t>差异解释</t>
        </is>
      </c>
      <c r="B15" s="2" t="inlineStr">
        <is>
          <t>Difference Explanation</t>
        </is>
      </c>
      <c r="C15" s="2" t="inlineStr">
        <is>
          <t>文本</t>
        </is>
      </c>
      <c r="D15" s="2" t="inlineStr">
        <is>
          <t>对差异进行管理层可读解释</t>
        </is>
      </c>
      <c r="E15" s="2" t="inlineStr">
        <is>
          <t>手工录入/经营会</t>
        </is>
      </c>
      <c r="F15" s="2" t="inlineStr">
        <is>
          <t>月度</t>
        </is>
      </c>
      <c r="G15" s="2" t="inlineStr">
        <is>
          <t>FP&amp;A/财务</t>
        </is>
      </c>
      <c r="H15" s="4" t="inlineStr">
        <is>
          <t>是</t>
        </is>
      </c>
      <c r="I15" s="2" t="inlineStr">
        <is>
          <t>主要差异来自未发货和汇率</t>
        </is>
      </c>
    </row>
    <row r="16">
      <c r="A16" s="3" t="inlineStr">
        <is>
          <t>核对状态</t>
        </is>
      </c>
      <c r="B16" s="3" t="inlineStr">
        <is>
          <t>Reconciliation Status</t>
        </is>
      </c>
      <c r="C16" s="3" t="inlineStr">
        <is>
          <t>枚举</t>
        </is>
      </c>
      <c r="D16" s="3" t="inlineStr">
        <is>
          <t>调节是否完成</t>
        </is>
      </c>
      <c r="E16" s="3" t="inlineStr">
        <is>
          <t>手工录入/流程系统</t>
        </is>
      </c>
      <c r="F16" s="3" t="inlineStr">
        <is>
          <t>月度</t>
        </is>
      </c>
      <c r="G16" s="3" t="inlineStr">
        <is>
          <t>FP&amp;A/财务</t>
        </is>
      </c>
      <c r="H16" s="4" t="inlineStr">
        <is>
          <t>是</t>
        </is>
      </c>
      <c r="I16" s="3" t="inlineStr">
        <is>
          <t>已核对/待核对/异常</t>
        </is>
      </c>
    </row>
  </sheetData>
  <autoFilter ref="A1:I16"/>
  <dataValidations count="1">
    <dataValidation sqref="H2:H16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75569"/>
    <outlinePr summaryBelow="1" summaryRight="1"/>
    <pageSetUpPr/>
  </sheetPr>
  <dimension ref="A1:I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44" customWidth="1" min="4" max="4"/>
    <col width="24" customWidth="1" min="5" max="5"/>
    <col width="14" customWidth="1" min="6" max="6"/>
    <col width="18" customWidth="1" min="7" max="7"/>
    <col width="12" customWidth="1" min="8" max="8"/>
    <col width="32" customWidth="1" min="9" max="9"/>
  </cols>
  <sheetData>
    <row r="1">
      <c r="A1" s="1" t="inlineStr">
        <is>
          <t>字段名称</t>
        </is>
      </c>
      <c r="B1" s="1" t="inlineStr">
        <is>
          <t>English Field</t>
        </is>
      </c>
      <c r="C1" s="1" t="inlineStr">
        <is>
          <t>字段类型/公式</t>
        </is>
      </c>
      <c r="D1" s="1" t="inlineStr">
        <is>
          <t>业务含义</t>
        </is>
      </c>
      <c r="E1" s="1" t="inlineStr">
        <is>
          <t>建议数据源</t>
        </is>
      </c>
      <c r="F1" s="1" t="inlineStr">
        <is>
          <t>更新频率</t>
        </is>
      </c>
      <c r="G1" s="1" t="inlineStr">
        <is>
          <t>责任方</t>
        </is>
      </c>
      <c r="H1" s="1" t="inlineStr">
        <is>
          <t>是否必填</t>
        </is>
      </c>
      <c r="I1" s="1" t="inlineStr">
        <is>
          <t>示例/备注</t>
        </is>
      </c>
    </row>
    <row r="2">
      <c r="A2" s="3" t="inlineStr">
        <is>
          <t>Executive Dashboard</t>
        </is>
      </c>
      <c r="B2" s="3" t="inlineStr">
        <is>
          <t>Executive Dashboard</t>
        </is>
      </c>
      <c r="C2" s="3" t="inlineStr">
        <is>
          <t>模块</t>
        </is>
      </c>
      <c r="D2" s="3" t="inlineStr">
        <is>
          <t>高层总览，一页纸看收入、利润、现金流和风险</t>
        </is>
      </c>
      <c r="E2" s="3" t="inlineStr">
        <is>
          <t>各模块汇总</t>
        </is>
      </c>
      <c r="F2" s="3" t="inlineStr">
        <is>
          <t>月度/周</t>
        </is>
      </c>
      <c r="G2" s="3" t="inlineStr">
        <is>
          <t>FP&amp;A</t>
        </is>
      </c>
      <c r="H2" s="4" t="inlineStr">
        <is>
          <t>是</t>
        </is>
      </c>
      <c r="I2" s="3" t="inlineStr">
        <is>
          <t>最小可用版本</t>
        </is>
      </c>
    </row>
    <row r="3">
      <c r="A3" s="2" t="inlineStr">
        <is>
          <t>Management P&amp;L</t>
        </is>
      </c>
      <c r="B3" s="2" t="inlineStr">
        <is>
          <t>Management P&amp;L</t>
        </is>
      </c>
      <c r="C3" s="2" t="inlineStr">
        <is>
          <t>模块</t>
        </is>
      </c>
      <c r="D3" s="2" t="inlineStr">
        <is>
          <t>管理利润表</t>
        </is>
      </c>
      <c r="E3" s="2" t="inlineStr">
        <is>
          <t>ERP/渠道/调节桥</t>
        </is>
      </c>
      <c r="F3" s="2" t="inlineStr">
        <is>
          <t>月度</t>
        </is>
      </c>
      <c r="G3" s="2" t="inlineStr">
        <is>
          <t>FP&amp;A/财务</t>
        </is>
      </c>
      <c r="H3" s="4" t="inlineStr">
        <is>
          <t>是</t>
        </is>
      </c>
      <c r="I3" s="2" t="inlineStr">
        <is>
          <t>最小可用版本</t>
        </is>
      </c>
    </row>
    <row r="4">
      <c r="A4" s="3" t="inlineStr">
        <is>
          <t>Channel Performance</t>
        </is>
      </c>
      <c r="B4" s="3" t="inlineStr">
        <is>
          <t>Channel Performance</t>
        </is>
      </c>
      <c r="C4" s="3" t="inlineStr">
        <is>
          <t>模块</t>
        </is>
      </c>
      <c r="D4" s="3" t="inlineStr">
        <is>
          <t>渠道经营表现</t>
        </is>
      </c>
      <c r="E4" s="3" t="inlineStr">
        <is>
          <t>渠道后台/管理报表</t>
        </is>
      </c>
      <c r="F4" s="3" t="inlineStr">
        <is>
          <t>周/月</t>
        </is>
      </c>
      <c r="G4" s="3" t="inlineStr">
        <is>
          <t>渠道运营/FP&amp;A</t>
        </is>
      </c>
      <c r="H4" s="3" t="inlineStr">
        <is>
          <t>否</t>
        </is>
      </c>
      <c r="I4" s="3" t="inlineStr">
        <is>
          <t>渠道下钻</t>
        </is>
      </c>
    </row>
    <row r="5">
      <c r="A5" s="2" t="inlineStr">
        <is>
          <t>Product/SKU Profitability</t>
        </is>
      </c>
      <c r="B5" s="2" t="inlineStr">
        <is>
          <t>Product/SKU Profitability</t>
        </is>
      </c>
      <c r="C5" s="2" t="inlineStr">
        <is>
          <t>模块</t>
        </is>
      </c>
      <c r="D5" s="2" t="inlineStr">
        <is>
          <t>产品或SKU盈利分析</t>
        </is>
      </c>
      <c r="E5" s="2" t="inlineStr">
        <is>
          <t>商品主数据/管理利润表</t>
        </is>
      </c>
      <c r="F5" s="2" t="inlineStr">
        <is>
          <t>周/月</t>
        </is>
      </c>
      <c r="G5" s="2" t="inlineStr">
        <is>
          <t>产品/FP&amp;A</t>
        </is>
      </c>
      <c r="H5" s="2" t="inlineStr">
        <is>
          <t>否</t>
        </is>
      </c>
      <c r="I5" s="2" t="inlineStr">
        <is>
          <t>SKU损益</t>
        </is>
      </c>
    </row>
    <row r="6">
      <c r="A6" s="3" t="inlineStr">
        <is>
          <t>Region/Country Analysis</t>
        </is>
      </c>
      <c r="B6" s="3" t="inlineStr">
        <is>
          <t>Region/Country Analysis</t>
        </is>
      </c>
      <c r="C6" s="3" t="inlineStr">
        <is>
          <t>模块</t>
        </is>
      </c>
      <c r="D6" s="3" t="inlineStr">
        <is>
          <t>区域和国家分析</t>
        </is>
      </c>
      <c r="E6" s="3" t="inlineStr">
        <is>
          <t>区域映射/管理报表</t>
        </is>
      </c>
      <c r="F6" s="3" t="inlineStr">
        <is>
          <t>月度</t>
        </is>
      </c>
      <c r="G6" s="3" t="inlineStr">
        <is>
          <t>区域负责人/FP&amp;A</t>
        </is>
      </c>
      <c r="H6" s="3" t="inlineStr">
        <is>
          <t>否</t>
        </is>
      </c>
      <c r="I6" s="3" t="inlineStr">
        <is>
          <t>国家站点下钻</t>
        </is>
      </c>
    </row>
    <row r="7">
      <c r="A7" s="2" t="inlineStr">
        <is>
          <t>Advertising Efficiency</t>
        </is>
      </c>
      <c r="B7" s="2" t="inlineStr">
        <is>
          <t>Advertising Efficiency</t>
        </is>
      </c>
      <c r="C7" s="2" t="inlineStr">
        <is>
          <t>模块</t>
        </is>
      </c>
      <c r="D7" s="2" t="inlineStr">
        <is>
          <t>广告效率分析</t>
        </is>
      </c>
      <c r="E7" s="2" t="inlineStr">
        <is>
          <t>广告平台/销售数据</t>
        </is>
      </c>
      <c r="F7" s="2" t="inlineStr">
        <is>
          <t>日/周/月</t>
        </is>
      </c>
      <c r="G7" s="2" t="inlineStr">
        <is>
          <t>广告团队/FP&amp;A</t>
        </is>
      </c>
      <c r="H7" s="2" t="inlineStr">
        <is>
          <t>否</t>
        </is>
      </c>
      <c r="I7" s="2" t="inlineStr">
        <is>
          <t>ACOS/TACOS/ROAS</t>
        </is>
      </c>
    </row>
    <row r="8">
      <c r="A8" s="3" t="inlineStr">
        <is>
          <t>Inventory &amp; Supply Chain</t>
        </is>
      </c>
      <c r="B8" s="3" t="inlineStr">
        <is>
          <t>Inventory &amp; Supply Chain</t>
        </is>
      </c>
      <c r="C8" s="3" t="inlineStr">
        <is>
          <t>模块</t>
        </is>
      </c>
      <c r="D8" s="3" t="inlineStr">
        <is>
          <t>库存与供应链分析</t>
        </is>
      </c>
      <c r="E8" s="3" t="inlineStr">
        <is>
          <t>WMS/ERP</t>
        </is>
      </c>
      <c r="F8" s="3" t="inlineStr">
        <is>
          <t>周/月</t>
        </is>
      </c>
      <c r="G8" s="3" t="inlineStr">
        <is>
          <t>供应链/FP&amp;A</t>
        </is>
      </c>
      <c r="H8" s="3" t="inlineStr">
        <is>
          <t>否</t>
        </is>
      </c>
      <c r="I8" s="3" t="inlineStr">
        <is>
          <t>库存周转和缺货</t>
        </is>
      </c>
    </row>
    <row r="9">
      <c r="A9" s="2" t="inlineStr">
        <is>
          <t>Budget vs Actual</t>
        </is>
      </c>
      <c r="B9" s="2" t="inlineStr">
        <is>
          <t>Budget vs Actual</t>
        </is>
      </c>
      <c r="C9" s="2" t="inlineStr">
        <is>
          <t>模块</t>
        </is>
      </c>
      <c r="D9" s="2" t="inlineStr">
        <is>
          <t>预算执行与差异分析</t>
        </is>
      </c>
      <c r="E9" s="2" t="inlineStr">
        <is>
          <t>预算系统/管理报表</t>
        </is>
      </c>
      <c r="F9" s="2" t="inlineStr">
        <is>
          <t>月度</t>
        </is>
      </c>
      <c r="G9" s="2" t="inlineStr">
        <is>
          <t>FP&amp;A</t>
        </is>
      </c>
      <c r="H9" s="4" t="inlineStr">
        <is>
          <t>是</t>
        </is>
      </c>
      <c r="I9" s="2" t="inlineStr">
        <is>
          <t>最小可用版本</t>
        </is>
      </c>
    </row>
    <row r="10">
      <c r="A10" s="3" t="inlineStr">
        <is>
          <t>Rolling Forecast</t>
        </is>
      </c>
      <c r="B10" s="3" t="inlineStr">
        <is>
          <t>Rolling Forecast</t>
        </is>
      </c>
      <c r="C10" s="3" t="inlineStr">
        <is>
          <t>模块</t>
        </is>
      </c>
      <c r="D10" s="3" t="inlineStr">
        <is>
          <t>滚动预测</t>
        </is>
      </c>
      <c r="E10" s="3" t="inlineStr">
        <is>
          <t>预测模型/业务假设</t>
        </is>
      </c>
      <c r="F10" s="3" t="inlineStr">
        <is>
          <t>月度/季度</t>
        </is>
      </c>
      <c r="G10" s="3" t="inlineStr">
        <is>
          <t>FP&amp;A/业务</t>
        </is>
      </c>
      <c r="H10" s="3" t="inlineStr">
        <is>
          <t>否</t>
        </is>
      </c>
      <c r="I10" s="3" t="inlineStr">
        <is>
          <t>RF12/RF18</t>
        </is>
      </c>
    </row>
    <row r="11">
      <c r="A11" s="2" t="inlineStr">
        <is>
          <t>Reconciliation Bridge</t>
        </is>
      </c>
      <c r="B11" s="2" t="inlineStr">
        <is>
          <t>Reconciliation Bridge</t>
        </is>
      </c>
      <c r="C11" s="2" t="inlineStr">
        <is>
          <t>模块</t>
        </is>
      </c>
      <c r="D11" s="2" t="inlineStr">
        <is>
          <t>渠道、管理、财务口径调节</t>
        </is>
      </c>
      <c r="E11" s="2" t="inlineStr">
        <is>
          <t>渠道后台/ERP/调节规则</t>
        </is>
      </c>
      <c r="F11" s="2" t="inlineStr">
        <is>
          <t>月度</t>
        </is>
      </c>
      <c r="G11" s="2" t="inlineStr">
        <is>
          <t>FP&amp;A/财务</t>
        </is>
      </c>
      <c r="H11" s="4" t="inlineStr">
        <is>
          <t>是</t>
        </is>
      </c>
      <c r="I11" s="2" t="inlineStr">
        <is>
          <t>最小可用版本</t>
        </is>
      </c>
    </row>
    <row r="12">
      <c r="A12" s="3" t="inlineStr">
        <is>
          <t>Data Dictionary</t>
        </is>
      </c>
      <c r="B12" s="3" t="inlineStr">
        <is>
          <t>Data Dictionary</t>
        </is>
      </c>
      <c r="C12" s="3" t="inlineStr">
        <is>
          <t>模块</t>
        </is>
      </c>
      <c r="D12" s="3" t="inlineStr">
        <is>
          <t>指标定义、公式、数据源、责任人</t>
        </is>
      </c>
      <c r="E12" s="3" t="inlineStr">
        <is>
          <t>数据治理</t>
        </is>
      </c>
      <c r="F12" s="3" t="inlineStr">
        <is>
          <t>持续维护</t>
        </is>
      </c>
      <c r="G12" s="3" t="inlineStr">
        <is>
          <t>FP&amp;A/BI</t>
        </is>
      </c>
      <c r="H12" s="4" t="inlineStr">
        <is>
          <t>是</t>
        </is>
      </c>
      <c r="I12" s="3" t="inlineStr">
        <is>
          <t>口径治理基础</t>
        </is>
      </c>
    </row>
  </sheetData>
  <autoFilter ref="A1:I12"/>
  <dataValidations count="1">
    <dataValidation sqref="H2:H12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334155"/>
    <outlinePr summaryBelow="1" summaryRight="1"/>
    <pageSetUpPr/>
  </sheetPr>
  <dimension ref="A1:I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44" customWidth="1" min="4" max="4"/>
    <col width="24" customWidth="1" min="5" max="5"/>
    <col width="14" customWidth="1" min="6" max="6"/>
    <col width="18" customWidth="1" min="7" max="7"/>
    <col width="12" customWidth="1" min="8" max="8"/>
    <col width="32" customWidth="1" min="9" max="9"/>
  </cols>
  <sheetData>
    <row r="1">
      <c r="A1" s="1" t="inlineStr">
        <is>
          <t>字段名称</t>
        </is>
      </c>
      <c r="B1" s="1" t="inlineStr">
        <is>
          <t>English Field</t>
        </is>
      </c>
      <c r="C1" s="1" t="inlineStr">
        <is>
          <t>字段类型/公式</t>
        </is>
      </c>
      <c r="D1" s="1" t="inlineStr">
        <is>
          <t>业务含义</t>
        </is>
      </c>
      <c r="E1" s="1" t="inlineStr">
        <is>
          <t>建议数据源</t>
        </is>
      </c>
      <c r="F1" s="1" t="inlineStr">
        <is>
          <t>更新频率</t>
        </is>
      </c>
      <c r="G1" s="1" t="inlineStr">
        <is>
          <t>责任方</t>
        </is>
      </c>
      <c r="H1" s="1" t="inlineStr">
        <is>
          <t>是否必填</t>
        </is>
      </c>
      <c r="I1" s="1" t="inlineStr">
        <is>
          <t>示例/备注</t>
        </is>
      </c>
    </row>
    <row r="2">
      <c r="A2" s="3" t="inlineStr">
        <is>
          <t>指标编码</t>
        </is>
      </c>
      <c r="B2" s="3" t="inlineStr">
        <is>
          <t>Metric Code</t>
        </is>
      </c>
      <c r="C2" s="3" t="inlineStr">
        <is>
          <t>文本</t>
        </is>
      </c>
      <c r="D2" s="3" t="inlineStr">
        <is>
          <t>唯一指标编码</t>
        </is>
      </c>
      <c r="E2" s="3" t="inlineStr">
        <is>
          <t>数据治理台账</t>
        </is>
      </c>
      <c r="F2" s="3" t="inlineStr">
        <is>
          <t>持续维护</t>
        </is>
      </c>
      <c r="G2" s="3" t="inlineStr">
        <is>
          <t>BI/FP&amp;A</t>
        </is>
      </c>
      <c r="H2" s="4" t="inlineStr">
        <is>
          <t>是</t>
        </is>
      </c>
      <c r="I2" s="3" t="inlineStr">
        <is>
          <t>FIN_NET_SALES</t>
        </is>
      </c>
    </row>
    <row r="3">
      <c r="A3" s="2" t="inlineStr">
        <is>
          <t>指标名称</t>
        </is>
      </c>
      <c r="B3" s="2" t="inlineStr">
        <is>
          <t>Metric Name</t>
        </is>
      </c>
      <c r="C3" s="2" t="inlineStr">
        <is>
          <t>文本</t>
        </is>
      </c>
      <c r="D3" s="2" t="inlineStr">
        <is>
          <t>中文指标名称</t>
        </is>
      </c>
      <c r="E3" s="2" t="inlineStr">
        <is>
          <t>数据治理台账</t>
        </is>
      </c>
      <c r="F3" s="2" t="inlineStr">
        <is>
          <t>持续维护</t>
        </is>
      </c>
      <c r="G3" s="2" t="inlineStr">
        <is>
          <t>BI/FP&amp;A</t>
        </is>
      </c>
      <c r="H3" s="4" t="inlineStr">
        <is>
          <t>是</t>
        </is>
      </c>
      <c r="I3" s="2" t="inlineStr">
        <is>
          <t>管理口径净销售额</t>
        </is>
      </c>
    </row>
    <row r="4">
      <c r="A4" s="3" t="inlineStr">
        <is>
          <t>英文名称</t>
        </is>
      </c>
      <c r="B4" s="3" t="inlineStr">
        <is>
          <t>English Name</t>
        </is>
      </c>
      <c r="C4" s="3" t="inlineStr">
        <is>
          <t>文本</t>
        </is>
      </c>
      <c r="D4" s="3" t="inlineStr">
        <is>
          <t>英文指标名称</t>
        </is>
      </c>
      <c r="E4" s="3" t="inlineStr">
        <is>
          <t>数据治理台账</t>
        </is>
      </c>
      <c r="F4" s="3" t="inlineStr">
        <is>
          <t>持续维护</t>
        </is>
      </c>
      <c r="G4" s="3" t="inlineStr">
        <is>
          <t>BI/FP&amp;A</t>
        </is>
      </c>
      <c r="H4" s="3" t="inlineStr">
        <is>
          <t>否</t>
        </is>
      </c>
      <c r="I4" s="3" t="inlineStr">
        <is>
          <t>Management Net Sales</t>
        </is>
      </c>
    </row>
    <row r="5">
      <c r="A5" s="2" t="inlineStr">
        <is>
          <t>指标定义</t>
        </is>
      </c>
      <c r="B5" s="2" t="inlineStr">
        <is>
          <t>Definition</t>
        </is>
      </c>
      <c r="C5" s="2" t="inlineStr">
        <is>
          <t>文本</t>
        </is>
      </c>
      <c r="D5" s="2" t="inlineStr">
        <is>
          <t>业务定义和适用边界</t>
        </is>
      </c>
      <c r="E5" s="2" t="inlineStr">
        <is>
          <t>数据治理台账</t>
        </is>
      </c>
      <c r="F5" s="2" t="inlineStr">
        <is>
          <t>持续维护</t>
        </is>
      </c>
      <c r="G5" s="2" t="inlineStr">
        <is>
          <t>FP&amp;A</t>
        </is>
      </c>
      <c r="H5" s="4" t="inlineStr">
        <is>
          <t>是</t>
        </is>
      </c>
      <c r="I5" s="2" t="inlineStr">
        <is>
          <t>用于经营分析的净收入</t>
        </is>
      </c>
    </row>
    <row r="6">
      <c r="A6" s="3" t="inlineStr">
        <is>
          <t>计算公式</t>
        </is>
      </c>
      <c r="B6" s="3" t="inlineStr">
        <is>
          <t>Formula</t>
        </is>
      </c>
      <c r="C6" s="3" t="inlineStr">
        <is>
          <t>公式/文本</t>
        </is>
      </c>
      <c r="D6" s="3" t="inlineStr">
        <is>
          <t>指标计算逻辑</t>
        </is>
      </c>
      <c r="E6" s="3" t="inlineStr">
        <is>
          <t>数据治理台账</t>
        </is>
      </c>
      <c r="F6" s="3" t="inlineStr">
        <is>
          <t>持续维护</t>
        </is>
      </c>
      <c r="G6" s="3" t="inlineStr">
        <is>
          <t>FP&amp;A/BI</t>
        </is>
      </c>
      <c r="H6" s="4" t="inlineStr">
        <is>
          <t>是</t>
        </is>
      </c>
      <c r="I6" s="3" t="inlineStr">
        <is>
          <t>GMV-Refund-Tax-Unshipped</t>
        </is>
      </c>
    </row>
    <row r="7">
      <c r="A7" s="2" t="inlineStr">
        <is>
          <t>统计口径</t>
        </is>
      </c>
      <c r="B7" s="2" t="inlineStr">
        <is>
          <t>Basis</t>
        </is>
      </c>
      <c r="C7" s="2" t="inlineStr">
        <is>
          <t>枚举</t>
        </is>
      </c>
      <c r="D7" s="2" t="inlineStr">
        <is>
          <t>管理/财务/渠道口径</t>
        </is>
      </c>
      <c r="E7" s="2" t="inlineStr">
        <is>
          <t>数据治理台账</t>
        </is>
      </c>
      <c r="F7" s="2" t="inlineStr">
        <is>
          <t>持续维护</t>
        </is>
      </c>
      <c r="G7" s="2" t="inlineStr">
        <is>
          <t>FP&amp;A/财务</t>
        </is>
      </c>
      <c r="H7" s="4" t="inlineStr">
        <is>
          <t>是</t>
        </is>
      </c>
      <c r="I7" s="2" t="inlineStr">
        <is>
          <t>管理口径</t>
        </is>
      </c>
    </row>
    <row r="8">
      <c r="A8" s="3" t="inlineStr">
        <is>
          <t>数据源系统</t>
        </is>
      </c>
      <c r="B8" s="3" t="inlineStr">
        <is>
          <t>Source System</t>
        </is>
      </c>
      <c r="C8" s="3" t="inlineStr">
        <is>
          <t>文本</t>
        </is>
      </c>
      <c r="D8" s="3" t="inlineStr">
        <is>
          <t>来源系统</t>
        </is>
      </c>
      <c r="E8" s="3" t="inlineStr">
        <is>
          <t>系统清单</t>
        </is>
      </c>
      <c r="F8" s="3" t="inlineStr">
        <is>
          <t>持续维护</t>
        </is>
      </c>
      <c r="G8" s="3" t="inlineStr">
        <is>
          <t>BI</t>
        </is>
      </c>
      <c r="H8" s="4" t="inlineStr">
        <is>
          <t>是</t>
        </is>
      </c>
      <c r="I8" s="3" t="inlineStr">
        <is>
          <t>Amazon后台/ERP</t>
        </is>
      </c>
    </row>
    <row r="9">
      <c r="A9" s="2" t="inlineStr">
        <is>
          <t>数据表/字段</t>
        </is>
      </c>
      <c r="B9" s="2" t="inlineStr">
        <is>
          <t>Source Table/Field</t>
        </is>
      </c>
      <c r="C9" s="2" t="inlineStr">
        <is>
          <t>文本</t>
        </is>
      </c>
      <c r="D9" s="2" t="inlineStr">
        <is>
          <t>来源表和字段</t>
        </is>
      </c>
      <c r="E9" s="2" t="inlineStr">
        <is>
          <t>数据模型</t>
        </is>
      </c>
      <c r="F9" s="2" t="inlineStr">
        <is>
          <t>持续维护</t>
        </is>
      </c>
      <c r="G9" s="2" t="inlineStr">
        <is>
          <t>BI</t>
        </is>
      </c>
      <c r="H9" s="2" t="inlineStr">
        <is>
          <t>否</t>
        </is>
      </c>
      <c r="I9" s="2" t="inlineStr">
        <is>
          <t>orders.gmv</t>
        </is>
      </c>
    </row>
    <row r="10">
      <c r="A10" s="3" t="inlineStr">
        <is>
          <t>刷新频率</t>
        </is>
      </c>
      <c r="B10" s="3" t="inlineStr">
        <is>
          <t>Refresh Frequency</t>
        </is>
      </c>
      <c r="C10" s="3" t="inlineStr">
        <is>
          <t>枚举</t>
        </is>
      </c>
      <c r="D10" s="3" t="inlineStr">
        <is>
          <t>日/周/月/实时</t>
        </is>
      </c>
      <c r="E10" s="3" t="inlineStr">
        <is>
          <t>调度系统</t>
        </is>
      </c>
      <c r="F10" s="3" t="inlineStr">
        <is>
          <t>持续维护</t>
        </is>
      </c>
      <c r="G10" s="3" t="inlineStr">
        <is>
          <t>BI</t>
        </is>
      </c>
      <c r="H10" s="4" t="inlineStr">
        <is>
          <t>是</t>
        </is>
      </c>
      <c r="I10" s="3" t="inlineStr">
        <is>
          <t>Daily</t>
        </is>
      </c>
    </row>
    <row r="11">
      <c r="A11" s="2" t="inlineStr">
        <is>
          <t>数据Owner</t>
        </is>
      </c>
      <c r="B11" s="2" t="inlineStr">
        <is>
          <t>Data Owner</t>
        </is>
      </c>
      <c r="C11" s="2" t="inlineStr">
        <is>
          <t>文本</t>
        </is>
      </c>
      <c r="D11" s="2" t="inlineStr">
        <is>
          <t>指标业务责任人</t>
        </is>
      </c>
      <c r="E11" s="2" t="inlineStr">
        <is>
          <t>组织架构</t>
        </is>
      </c>
      <c r="F11" s="2" t="inlineStr">
        <is>
          <t>持续维护</t>
        </is>
      </c>
      <c r="G11" s="2" t="inlineStr">
        <is>
          <t>FP&amp;A/业务</t>
        </is>
      </c>
      <c r="H11" s="4" t="inlineStr">
        <is>
          <t>是</t>
        </is>
      </c>
      <c r="I11" s="2" t="inlineStr">
        <is>
          <t>FP&amp;A Owner</t>
        </is>
      </c>
    </row>
    <row r="12">
      <c r="A12" s="3" t="inlineStr">
        <is>
          <t>质量规则</t>
        </is>
      </c>
      <c r="B12" s="3" t="inlineStr">
        <is>
          <t>Quality Rule</t>
        </is>
      </c>
      <c r="C12" s="3" t="inlineStr">
        <is>
          <t>文本</t>
        </is>
      </c>
      <c r="D12" s="3" t="inlineStr">
        <is>
          <t>空值、异常值、波动校验规则</t>
        </is>
      </c>
      <c r="E12" s="3" t="inlineStr">
        <is>
          <t>数据质量系统</t>
        </is>
      </c>
      <c r="F12" s="3" t="inlineStr">
        <is>
          <t>持续维护</t>
        </is>
      </c>
      <c r="G12" s="3" t="inlineStr">
        <is>
          <t>BI/FP&amp;A</t>
        </is>
      </c>
      <c r="H12" s="3" t="inlineStr">
        <is>
          <t>否</t>
        </is>
      </c>
      <c r="I12" s="3" t="inlineStr">
        <is>
          <t>同比波动超过30%预警</t>
        </is>
      </c>
    </row>
    <row r="13">
      <c r="A13" s="2" t="inlineStr">
        <is>
          <t>是否考核指标</t>
        </is>
      </c>
      <c r="B13" s="2" t="inlineStr">
        <is>
          <t>KPI Flag</t>
        </is>
      </c>
      <c r="C13" s="2" t="inlineStr">
        <is>
          <t>枚举</t>
        </is>
      </c>
      <c r="D13" s="2" t="inlineStr">
        <is>
          <t>是否用于绩效考核</t>
        </is>
      </c>
      <c r="E13" s="2" t="inlineStr">
        <is>
          <t>绩效方案</t>
        </is>
      </c>
      <c r="F13" s="2" t="inlineStr">
        <is>
          <t>年度/月度</t>
        </is>
      </c>
      <c r="G13" s="2" t="inlineStr">
        <is>
          <t>管理层/HR</t>
        </is>
      </c>
      <c r="H13" s="4" t="inlineStr">
        <is>
          <t>是</t>
        </is>
      </c>
      <c r="I13" s="2" t="inlineStr">
        <is>
          <t>是/否</t>
        </is>
      </c>
    </row>
    <row r="14">
      <c r="A14" s="3" t="inlineStr">
        <is>
          <t>生效日期</t>
        </is>
      </c>
      <c r="B14" s="3" t="inlineStr">
        <is>
          <t>Effective Date</t>
        </is>
      </c>
      <c r="C14" s="3" t="inlineStr">
        <is>
          <t>日期</t>
        </is>
      </c>
      <c r="D14" s="3" t="inlineStr">
        <is>
          <t>定义生效时间</t>
        </is>
      </c>
      <c r="E14" s="3" t="inlineStr">
        <is>
          <t>数据治理台账</t>
        </is>
      </c>
      <c r="F14" s="3" t="inlineStr">
        <is>
          <t>持续维护</t>
        </is>
      </c>
      <c r="G14" s="3" t="inlineStr">
        <is>
          <t>FP&amp;A</t>
        </is>
      </c>
      <c r="H14" s="4" t="inlineStr">
        <is>
          <t>是</t>
        </is>
      </c>
      <c r="I14" s="3" t="inlineStr">
        <is>
          <t>2026-05-01</t>
        </is>
      </c>
    </row>
    <row r="15">
      <c r="A15" s="2" t="inlineStr">
        <is>
          <t>变更记录</t>
        </is>
      </c>
      <c r="B15" s="2" t="inlineStr">
        <is>
          <t>Change Log</t>
        </is>
      </c>
      <c r="C15" s="2" t="inlineStr">
        <is>
          <t>文本</t>
        </is>
      </c>
      <c r="D15" s="2" t="inlineStr">
        <is>
          <t>口径变更说明</t>
        </is>
      </c>
      <c r="E15" s="2" t="inlineStr">
        <is>
          <t>数据治理台账</t>
        </is>
      </c>
      <c r="F15" s="2" t="inlineStr">
        <is>
          <t>持续维护</t>
        </is>
      </c>
      <c r="G15" s="2" t="inlineStr">
        <is>
          <t>FP&amp;A</t>
        </is>
      </c>
      <c r="H15" s="2" t="inlineStr">
        <is>
          <t>否</t>
        </is>
      </c>
      <c r="I15" s="2" t="inlineStr">
        <is>
          <t>2026-05新增未发货调整</t>
        </is>
      </c>
    </row>
  </sheetData>
  <autoFilter ref="A1:I15"/>
  <dataValidations count="1">
    <dataValidation sqref="H2:H15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11827"/>
    <outlinePr summaryBelow="1" summaryRight="1"/>
    <pageSetUpPr/>
  </sheetPr>
  <dimension ref="A1:X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报表期间</t>
        </is>
      </c>
      <c r="B1" s="1" t="inlineStr">
        <is>
          <t>版本</t>
        </is>
      </c>
      <c r="C1" s="1" t="inlineStr">
        <is>
          <t>口径</t>
        </is>
      </c>
      <c r="D1" s="1" t="inlineStr">
        <is>
          <t>BU</t>
        </is>
      </c>
      <c r="E1" s="1" t="inlineStr">
        <is>
          <t>平台/渠道</t>
        </is>
      </c>
      <c r="F1" s="1" t="inlineStr">
        <is>
          <t>国家/站点</t>
        </is>
      </c>
      <c r="G1" s="1" t="inlineStr">
        <is>
          <t>产品线</t>
        </is>
      </c>
      <c r="H1" s="1" t="inlineStr">
        <is>
          <t>SKU/ASIN</t>
        </is>
      </c>
      <c r="I1" s="1" t="inlineStr">
        <is>
          <t>GMV</t>
        </is>
      </c>
      <c r="J1" s="1" t="inlineStr">
        <is>
          <t>管理口径净销售额</t>
        </is>
      </c>
      <c r="K1" s="1" t="inlineStr">
        <is>
          <t>商品成本</t>
        </is>
      </c>
      <c r="L1" s="1" t="inlineStr">
        <is>
          <t>履约费</t>
        </is>
      </c>
      <c r="M1" s="1" t="inlineStr">
        <is>
          <t>平台佣金</t>
        </is>
      </c>
      <c r="N1" s="1" t="inlineStr">
        <is>
          <t>广告费</t>
        </is>
      </c>
      <c r="O1" s="1" t="inlineStr">
        <is>
          <t>促销费用</t>
        </is>
      </c>
      <c r="P1" s="1" t="inlineStr">
        <is>
          <t>毛利</t>
        </is>
      </c>
      <c r="Q1" s="1" t="inlineStr">
        <is>
          <t>边际贡献</t>
        </is>
      </c>
      <c r="R1" s="1" t="inlineStr">
        <is>
          <t>经营利润</t>
        </is>
      </c>
      <c r="S1" s="1" t="inlineStr">
        <is>
          <t>预算</t>
        </is>
      </c>
      <c r="T1" s="1" t="inlineStr">
        <is>
          <t>预算差异</t>
        </is>
      </c>
      <c r="U1" s="1" t="inlineStr">
        <is>
          <t>差异原因</t>
        </is>
      </c>
      <c r="V1" s="1" t="inlineStr">
        <is>
          <t>行动计划</t>
        </is>
      </c>
      <c r="W1" s="1" t="inlineStr">
        <is>
          <t>Owner</t>
        </is>
      </c>
      <c r="X1" s="1" t="inlineStr">
        <is>
          <t>状态</t>
        </is>
      </c>
    </row>
    <row r="2">
      <c r="A2" s="5" t="inlineStr">
        <is>
          <t>2026-05</t>
        </is>
      </c>
      <c r="B2" s="5" t="inlineStr">
        <is>
          <t>Actual</t>
        </is>
      </c>
      <c r="C2" s="5" t="inlineStr">
        <is>
          <t>管理口径</t>
        </is>
      </c>
      <c r="D2" s="5" t="inlineStr">
        <is>
          <t>Lighting</t>
        </is>
      </c>
      <c r="E2" s="5" t="inlineStr">
        <is>
          <t>Amazon</t>
        </is>
      </c>
      <c r="F2" s="5" t="inlineStr">
        <is>
          <t>US</t>
        </is>
      </c>
      <c r="G2" s="5" t="inlineStr">
        <is>
          <t>TV Backlight</t>
        </is>
      </c>
      <c r="H2" s="5" t="inlineStr">
        <is>
          <t>B6061101</t>
        </is>
      </c>
      <c r="I2" s="5" t="n">
        <v>100000</v>
      </c>
      <c r="J2" s="5" t="n">
        <v>88000</v>
      </c>
      <c r="K2" s="5" t="n">
        <v>36000</v>
      </c>
      <c r="L2" s="5" t="n">
        <v>9000</v>
      </c>
      <c r="M2" s="5" t="n">
        <v>12000</v>
      </c>
      <c r="N2" s="5" t="n">
        <v>10000</v>
      </c>
      <c r="O2" s="5" t="n">
        <v>3000</v>
      </c>
      <c r="P2" s="5">
        <f>J2-K2-L2-M2</f>
        <v/>
      </c>
      <c r="Q2" s="5">
        <f>P2-N2-O2</f>
        <v/>
      </c>
      <c r="R2" s="5">
        <f>Q2</f>
        <v/>
      </c>
      <c r="S2" s="5" t="n">
        <v>95000</v>
      </c>
      <c r="T2" s="5">
        <f>J2-S2</f>
        <v/>
      </c>
      <c r="U2" s="5" t="inlineStr">
        <is>
          <t>示例：销量低于预算，广告CPC上升</t>
        </is>
      </c>
      <c r="V2" s="5" t="inlineStr">
        <is>
          <t>优化广告结构并复盘关键词</t>
        </is>
      </c>
      <c r="W2" s="5" t="inlineStr">
        <is>
          <t>Business Owner</t>
        </is>
      </c>
      <c r="X2" s="5" t="inlineStr">
        <is>
          <t>Open</t>
        </is>
      </c>
    </row>
  </sheetData>
  <autoFilter ref="A1:X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2026-05-21T04:12:30Z</dcterms:created>
  <dcterms:modified xmlns:dcterms="http://purl.org/dc/terms/" xmlns:xsi="http://www.w3.org/2001/XMLSchema-instance" xsi:type="dcterms:W3CDTF">2026-05-21T04:12:31Z</dcterms:modified>
</cp:coreProperties>
</file>